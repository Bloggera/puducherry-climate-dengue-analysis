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thi\Downloads\"/>
    </mc:Choice>
  </mc:AlternateContent>
  <xr:revisionPtr revIDLastSave="0" documentId="13_ncr:1_{97F04068-7E36-4DC6-AF50-875D9E094262}" xr6:coauthVersionLast="47" xr6:coauthVersionMax="47" xr10:uidLastSave="{00000000-0000-0000-0000-000000000000}"/>
  <bookViews>
    <workbookView xWindow="-120" yWindow="-120" windowWidth="20730" windowHeight="11160" firstSheet="1" activeTab="6" xr2:uid="{53BEC14E-0023-403F-AC8F-C800D5DDDF8A}"/>
  </bookViews>
  <sheets>
    <sheet name="6c05cd1b-ed59-40c2-bc31-e314f39" sheetId="1" state="hidden" r:id="rId1"/>
    <sheet name="Monthly_Rainfall" sheetId="8" r:id="rId2"/>
    <sheet name="Sheet6" sheetId="7" state="hidden" r:id="rId3"/>
    <sheet name="raw_rainfall" sheetId="3" state="hidden" r:id="rId4"/>
    <sheet name="Sheet1" sheetId="2" state="hidden" r:id="rId5"/>
    <sheet name="Merged_Analysis" sheetId="10" r:id="rId6"/>
    <sheet name="Charts" sheetId="13" r:id="rId7"/>
    <sheet name="Final_Merged_Analysis" sheetId="11" r:id="rId8"/>
    <sheet name="Sheet5" sheetId="12" r:id="rId9"/>
    <sheet name="Dengue_CAses" sheetId="9" r:id="rId10"/>
  </sheets>
  <definedNames>
    <definedName name="_xlnm._FilterDatabase" localSheetId="7" hidden="1">Final_Merged_Analysis!$A$1:$H$49</definedName>
  </definedNames>
  <calcPr calcId="191029"/>
  <pivotCaches>
    <pivotCache cacheId="0" r:id="rId11"/>
  </pivotCaches>
  <fileRecoveryPr repairLoad="1"/>
</workbook>
</file>

<file path=xl/calcChain.xml><?xml version="1.0" encoding="utf-8"?>
<calcChain xmlns="http://schemas.openxmlformats.org/spreadsheetml/2006/main">
  <c r="G5" i="13" l="1"/>
  <c r="G4" i="13"/>
  <c r="G3" i="13"/>
  <c r="G2" i="13"/>
  <c r="H49" i="11"/>
  <c r="G49" i="11"/>
  <c r="E49" i="11"/>
  <c r="H48" i="11"/>
  <c r="G48" i="11"/>
  <c r="E48" i="11"/>
  <c r="H47" i="11"/>
  <c r="G47" i="11"/>
  <c r="E47" i="11"/>
  <c r="H46" i="11"/>
  <c r="G46" i="11"/>
  <c r="E46" i="11"/>
  <c r="H45" i="11"/>
  <c r="G45" i="11"/>
  <c r="E45" i="11"/>
  <c r="H44" i="11"/>
  <c r="G44" i="11"/>
  <c r="E44" i="11"/>
  <c r="H43" i="11"/>
  <c r="G43" i="11"/>
  <c r="E43" i="11"/>
  <c r="F43" i="11" s="1"/>
  <c r="H42" i="11"/>
  <c r="G42" i="11"/>
  <c r="E42" i="11"/>
  <c r="F42" i="11" s="1"/>
  <c r="H41" i="11"/>
  <c r="G41" i="11"/>
  <c r="E41" i="11"/>
  <c r="F41" i="11" s="1"/>
  <c r="H40" i="11"/>
  <c r="G40" i="11"/>
  <c r="E40" i="11"/>
  <c r="F40" i="11" s="1"/>
  <c r="H39" i="11"/>
  <c r="G39" i="11"/>
  <c r="E39" i="11"/>
  <c r="F39" i="11" s="1"/>
  <c r="H38" i="11"/>
  <c r="G38" i="11"/>
  <c r="E38" i="11"/>
  <c r="F38" i="11" s="1"/>
  <c r="H37" i="11"/>
  <c r="G37" i="11"/>
  <c r="E37" i="11"/>
  <c r="H36" i="11"/>
  <c r="G36" i="11"/>
  <c r="E36" i="11"/>
  <c r="H35" i="11"/>
  <c r="G35" i="11"/>
  <c r="E35" i="11"/>
  <c r="H34" i="11"/>
  <c r="G34" i="11"/>
  <c r="E34" i="11"/>
  <c r="H33" i="11"/>
  <c r="G33" i="11"/>
  <c r="E33" i="11"/>
  <c r="H32" i="11"/>
  <c r="G32" i="11"/>
  <c r="E32" i="11"/>
  <c r="H31" i="11"/>
  <c r="G31" i="11"/>
  <c r="E31" i="11"/>
  <c r="F31" i="11" s="1"/>
  <c r="H30" i="11"/>
  <c r="G30" i="11"/>
  <c r="E30" i="11"/>
  <c r="F30" i="11" s="1"/>
  <c r="H29" i="11"/>
  <c r="G29" i="11"/>
  <c r="E29" i="11"/>
  <c r="F29" i="11" s="1"/>
  <c r="H28" i="11"/>
  <c r="G28" i="11"/>
  <c r="E28" i="11"/>
  <c r="F28" i="11" s="1"/>
  <c r="H27" i="11"/>
  <c r="G27" i="11"/>
  <c r="E27" i="11"/>
  <c r="F27" i="11" s="1"/>
  <c r="H26" i="11"/>
  <c r="G26" i="11"/>
  <c r="E26" i="11"/>
  <c r="F26" i="11" s="1"/>
  <c r="H25" i="11"/>
  <c r="G25" i="11"/>
  <c r="E25" i="11"/>
  <c r="H24" i="11"/>
  <c r="G24" i="11"/>
  <c r="E24" i="11"/>
  <c r="H23" i="11"/>
  <c r="G23" i="11"/>
  <c r="E23" i="11"/>
  <c r="H22" i="11"/>
  <c r="G22" i="11"/>
  <c r="E22" i="11"/>
  <c r="H21" i="11"/>
  <c r="G21" i="11"/>
  <c r="E21" i="11"/>
  <c r="H20" i="11"/>
  <c r="G20" i="11"/>
  <c r="E20" i="11"/>
  <c r="H19" i="11"/>
  <c r="G19" i="11"/>
  <c r="E19" i="11"/>
  <c r="F19" i="11" s="1"/>
  <c r="H18" i="11"/>
  <c r="G18" i="11"/>
  <c r="E18" i="11"/>
  <c r="F18" i="11" s="1"/>
  <c r="H17" i="11"/>
  <c r="G17" i="11"/>
  <c r="E17" i="11"/>
  <c r="F17" i="11" s="1"/>
  <c r="H16" i="11"/>
  <c r="G16" i="11"/>
  <c r="E16" i="11"/>
  <c r="F16" i="11" s="1"/>
  <c r="H15" i="11"/>
  <c r="G15" i="11"/>
  <c r="E15" i="11"/>
  <c r="F15" i="11" s="1"/>
  <c r="H14" i="11"/>
  <c r="G14" i="11"/>
  <c r="E14" i="11"/>
  <c r="F14" i="11" s="1"/>
  <c r="H13" i="11"/>
  <c r="G13" i="11"/>
  <c r="E13" i="11"/>
  <c r="H12" i="11"/>
  <c r="G12" i="11"/>
  <c r="E12" i="11"/>
  <c r="H11" i="11"/>
  <c r="G11" i="11"/>
  <c r="E11" i="11"/>
  <c r="H10" i="11"/>
  <c r="G10" i="11"/>
  <c r="E10" i="11"/>
  <c r="H9" i="11"/>
  <c r="G9" i="11"/>
  <c r="E9" i="11"/>
  <c r="H8" i="11"/>
  <c r="G8" i="11"/>
  <c r="E8" i="11"/>
  <c r="H7" i="11"/>
  <c r="G7" i="11"/>
  <c r="E7" i="11"/>
  <c r="F7" i="11" s="1"/>
  <c r="H6" i="11"/>
  <c r="G6" i="11"/>
  <c r="E6" i="11"/>
  <c r="F6" i="11" s="1"/>
  <c r="H5" i="11"/>
  <c r="G5" i="11"/>
  <c r="E5" i="11"/>
  <c r="F5" i="11" s="1"/>
  <c r="H4" i="11"/>
  <c r="G4" i="11"/>
  <c r="E4" i="11"/>
  <c r="F4" i="11" s="1"/>
  <c r="G3" i="11"/>
  <c r="E3" i="11"/>
  <c r="F3" i="11" s="1"/>
  <c r="E2" i="11"/>
  <c r="F2" i="11" s="1"/>
  <c r="C60" i="11" s="1"/>
  <c r="F8" i="10"/>
  <c r="F9" i="10"/>
  <c r="B62" i="10"/>
  <c r="B61" i="10"/>
  <c r="B60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4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3" i="10"/>
  <c r="F3" i="10"/>
  <c r="F4" i="10"/>
  <c r="F5" i="10"/>
  <c r="F6" i="10"/>
  <c r="F7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2" i="10"/>
  <c r="E3" i="9"/>
  <c r="E4" i="9"/>
  <c r="E5" i="9"/>
  <c r="E6" i="9"/>
  <c r="E7" i="9"/>
  <c r="E8" i="9"/>
  <c r="E9" i="9"/>
  <c r="E10" i="9"/>
  <c r="E11" i="9"/>
  <c r="E12" i="9"/>
  <c r="E13" i="9"/>
  <c r="E2" i="9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12" i="10"/>
  <c r="E13" i="10"/>
  <c r="E14" i="10"/>
  <c r="E15" i="10"/>
  <c r="E16" i="10"/>
  <c r="E17" i="10"/>
  <c r="E6" i="10"/>
  <c r="E7" i="10"/>
  <c r="E8" i="10"/>
  <c r="E9" i="10"/>
  <c r="E10" i="10"/>
  <c r="E11" i="10"/>
  <c r="E3" i="10"/>
  <c r="E4" i="10"/>
  <c r="E5" i="10"/>
  <c r="E2" i="10"/>
  <c r="C62" i="11"/>
  <c r="C61" i="11"/>
</calcChain>
</file>

<file path=xl/sharedStrings.xml><?xml version="1.0" encoding="utf-8"?>
<sst xmlns="http://schemas.openxmlformats.org/spreadsheetml/2006/main" count="9094" uniqueCount="100">
  <si>
    <t>State</t>
  </si>
  <si>
    <t>District</t>
  </si>
  <si>
    <t>Date</t>
  </si>
  <si>
    <t>Year</t>
  </si>
  <si>
    <t>Month</t>
  </si>
  <si>
    <t>Avg_rainfall</t>
  </si>
  <si>
    <t>Agency_name</t>
  </si>
  <si>
    <t>Puducherry</t>
  </si>
  <si>
    <t>Pondicherry</t>
  </si>
  <si>
    <t>IMD GRID MODEL</t>
  </si>
  <si>
    <t>Yanam</t>
  </si>
  <si>
    <t>Karaikal</t>
  </si>
  <si>
    <t>Mahe</t>
  </si>
  <si>
    <t>S.No.</t>
  </si>
  <si>
    <t>State/UT</t>
  </si>
  <si>
    <t>2019 - January</t>
  </si>
  <si>
    <t>2019 - February</t>
  </si>
  <si>
    <t>2019 - March</t>
  </si>
  <si>
    <t>2019 - April</t>
  </si>
  <si>
    <t>2019 - May</t>
  </si>
  <si>
    <t>2019 - June</t>
  </si>
  <si>
    <t>2019 - Total</t>
  </si>
  <si>
    <t>2018 - January</t>
  </si>
  <si>
    <t>2018 - February</t>
  </si>
  <si>
    <t>2018 - March</t>
  </si>
  <si>
    <t>2018 - April</t>
  </si>
  <si>
    <t>2018 - May</t>
  </si>
  <si>
    <t>2018 - June</t>
  </si>
  <si>
    <t>2018 - July</t>
  </si>
  <si>
    <t>2018 - August</t>
  </si>
  <si>
    <t>2018 - September</t>
  </si>
  <si>
    <t>2018 - October</t>
  </si>
  <si>
    <t>2018 - November</t>
  </si>
  <si>
    <t>2018 - December</t>
  </si>
  <si>
    <t>2018 - Total</t>
  </si>
  <si>
    <t>Andhara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</si>
  <si>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</si>
  <si>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</si>
  <si>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</si>
  <si>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</si>
  <si>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</si>
  <si>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</si>
  <si>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</si>
  <si>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</si>
  <si>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 &amp; K</t>
  </si>
  <si>
    <t>Jharkhand</t>
  </si>
  <si>
    <t>Karnataka</t>
  </si>
  <si>
    <t>Kerala</t>
  </si>
  <si>
    <t>Madhya Pradesh</t>
  </si>
  <si>
    <t>Meghalaya</t>
  </si>
  <si>
    <t>Maharashtra</t>
  </si>
  <si>
    <t>Manipur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</si>
  <si>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</si>
  <si>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</si>
  <si>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</si>
  <si>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</si>
  <si>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</si>
  <si>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</si>
  <si>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</si>
  <si>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</si>
  <si>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Telengana</t>
  </si>
  <si>
    <t>Uttar Pradesh</t>
  </si>
  <si>
    <t>Uttrakhand</t>
  </si>
  <si>
    <t>West Bengal</t>
  </si>
  <si>
    <t>Not Reported</t>
  </si>
  <si>
    <t>A&amp;N Island</t>
  </si>
  <si>
    <t>Chandigarh</t>
  </si>
  <si>
    <t>Delhi</t>
  </si>
  <si>
    <t>D&amp;N Haveli</t>
  </si>
  <si>
    <t>Daman &amp; Diu</t>
  </si>
  <si>
    <t>Total</t>
  </si>
  <si>
    <t>Row Labels</t>
  </si>
  <si>
    <t>Grand Total</t>
  </si>
  <si>
    <t>Sum of Avg_rainfall</t>
  </si>
  <si>
    <t>Days_with_Data</t>
  </si>
  <si>
    <t>Total_Rainfall</t>
  </si>
  <si>
    <t>Dengue_cases</t>
  </si>
  <si>
    <t>Year_Month</t>
  </si>
  <si>
    <t>Dengue_Cases</t>
  </si>
  <si>
    <t>Rainfall_Lag1</t>
  </si>
  <si>
    <t>Rainfall_Lag2</t>
  </si>
  <si>
    <t>========================================================================</t>
  </si>
  <si>
    <t xml:space="preserve">  </t>
  </si>
  <si>
    <t>CORRELATION ANALYSIS</t>
  </si>
  <si>
    <t>Lag Type</t>
  </si>
  <si>
    <t>Correlation Value</t>
  </si>
  <si>
    <t>Same Month(Lag 0)</t>
  </si>
  <si>
    <t>1-Month Lag</t>
  </si>
  <si>
    <t>2-Month Lag</t>
  </si>
  <si>
    <t>2019-1</t>
  </si>
  <si>
    <t>2019-2</t>
  </si>
  <si>
    <t>2019-3</t>
  </si>
  <si>
    <t>2019-4</t>
  </si>
  <si>
    <t>2019-5</t>
  </si>
  <si>
    <t>2019-6</t>
  </si>
  <si>
    <t>Lag_Type</t>
  </si>
  <si>
    <t>Correlation</t>
  </si>
  <si>
    <t>Lag 0</t>
  </si>
  <si>
    <t>Lag 2</t>
  </si>
  <si>
    <t>Lag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</si>
</sst>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quotePrefix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ADD8E6"/>
      <color rgb="FF0070C0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Rainfall vs Dengue Cases - Pondicherry(Jan-Jun 2019)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00913758498048"/>
          <c:y val="0.18620196604110817"/>
          <c:w val="0.77483282560250677"/>
          <c:h val="0.626922519403573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rgbClr val="0070C0">
                <a:alpha val="70000"/>
              </a:srgbClr>
            </a:solidFill>
            <a:ln>
              <a:noFill/>
            </a:ln>
            <a:effectLst/>
          </c:spPr>
          <c:invertIfNegative val="0"/>
          <c:val>
            <c:numRef>
              <c:f>Charts!$A$2:$A$7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E-4501-B343-788215E33F2F}"/>
            </c:ext>
          </c:extLst>
        </c:ser>
        <c:ser>
          <c:idx val="1"/>
          <c:order val="1"/>
          <c:tx>
            <c:strRef>
              <c:f>Charts!$B$1</c:f>
              <c:strCache>
                <c:ptCount val="1"/>
                <c:pt idx="0">
                  <c:v>Total_Rainfall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Charts!$B$2:$B$7</c:f>
              <c:numCache>
                <c:formatCode>General</c:formatCode>
                <c:ptCount val="6"/>
                <c:pt idx="0">
                  <c:v>0.34661178999999998</c:v>
                </c:pt>
                <c:pt idx="1">
                  <c:v>0</c:v>
                </c:pt>
                <c:pt idx="2">
                  <c:v>0</c:v>
                </c:pt>
                <c:pt idx="3">
                  <c:v>0.22935670899999999</c:v>
                </c:pt>
                <c:pt idx="4">
                  <c:v>13.982447851</c:v>
                </c:pt>
                <c:pt idx="5">
                  <c:v>14.047029446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8E-4501-B343-788215E3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5834840"/>
        <c:axId val="665834480"/>
      </c:barChart>
      <c:lineChart>
        <c:grouping val="standard"/>
        <c:varyColors val="0"/>
        <c:ser>
          <c:idx val="2"/>
          <c:order val="2"/>
          <c:tx>
            <c:strRef>
              <c:f>Charts!$C$1</c:f>
              <c:strCache>
                <c:ptCount val="1"/>
                <c:pt idx="0">
                  <c:v>Dengue_Cases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Charts!$C$2:$C$7</c:f>
              <c:numCache>
                <c:formatCode>General</c:formatCode>
                <c:ptCount val="6"/>
                <c:pt idx="0">
                  <c:v>64</c:v>
                </c:pt>
                <c:pt idx="1">
                  <c:v>72</c:v>
                </c:pt>
                <c:pt idx="2">
                  <c:v>49</c:v>
                </c:pt>
                <c:pt idx="3">
                  <c:v>60</c:v>
                </c:pt>
                <c:pt idx="4">
                  <c:v>23</c:v>
                </c:pt>
                <c:pt idx="5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E-4501-B343-788215E33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406840"/>
        <c:axId val="447404320"/>
      </c:lineChart>
      <c:catAx>
        <c:axId val="66583484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34480"/>
        <c:crosses val="autoZero"/>
        <c:auto val="1"/>
        <c:lblAlgn val="ctr"/>
        <c:lblOffset val="100"/>
        <c:noMultiLvlLbl val="0"/>
      </c:catAx>
      <c:valAx>
        <c:axId val="6658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Rainfall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34840"/>
        <c:crosses val="autoZero"/>
        <c:crossBetween val="between"/>
      </c:valAx>
      <c:valAx>
        <c:axId val="44740432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Dengue</a:t>
                </a:r>
                <a:r>
                  <a:rPr lang="en-IN" baseline="0"/>
                  <a:t> Cases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06840"/>
        <c:crosses val="max"/>
        <c:crossBetween val="between"/>
      </c:valAx>
      <c:catAx>
        <c:axId val="447406840"/>
        <c:scaling>
          <c:orientation val="minMax"/>
        </c:scaling>
        <c:delete val="1"/>
        <c:axPos val="b"/>
        <c:majorTickMark val="out"/>
        <c:minorTickMark val="none"/>
        <c:tickLblPos val="nextTo"/>
        <c:crossAx val="447404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Annual Rainfall By District (2019)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Charts!$G$1</c:f>
              <c:strCache>
                <c:ptCount val="1"/>
                <c:pt idx="0">
                  <c:v>Total_Rainfall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3F7-458D-8A84-CF6CDCF524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Charts!$F$2:$F$5</c:f>
              <c:strCache>
                <c:ptCount val="4"/>
                <c:pt idx="0">
                  <c:v>Pondicherry</c:v>
                </c:pt>
                <c:pt idx="1">
                  <c:v>Karaikal</c:v>
                </c:pt>
                <c:pt idx="2">
                  <c:v>Mahe</c:v>
                </c:pt>
                <c:pt idx="3">
                  <c:v>Yanam</c:v>
                </c:pt>
              </c:strCache>
            </c:strRef>
          </c:cat>
          <c:val>
            <c:numRef>
              <c:f>Charts!$G$2:$G$5</c:f>
              <c:numCache>
                <c:formatCode>General</c:formatCode>
                <c:ptCount val="4"/>
                <c:pt idx="0">
                  <c:v>1130.3149218160002</c:v>
                </c:pt>
                <c:pt idx="1">
                  <c:v>1384.2244108999998</c:v>
                </c:pt>
                <c:pt idx="2">
                  <c:v>4426.9430936789995</c:v>
                </c:pt>
                <c:pt idx="3">
                  <c:v>1153.7338744950002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7-458D-8A84-CF6CDCF524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47881336"/>
        <c:axId val="363485760"/>
      </c:barChart>
      <c:catAx>
        <c:axId val="547881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485760"/>
        <c:crosses val="autoZero"/>
        <c:auto val="1"/>
        <c:lblAlgn val="ctr"/>
        <c:lblOffset val="100"/>
        <c:noMultiLvlLbl val="0"/>
      </c:catAx>
      <c:valAx>
        <c:axId val="36348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81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Correlation Strength at Different Lags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Charts!$G$8</c:f>
              <c:strCache>
                <c:ptCount val="1"/>
                <c:pt idx="0">
                  <c:v>Correlation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DD8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F69-49AC-A824-C8EE6ED6ACC3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F69-49AC-A824-C8EE6ED6AC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Charts!$F$9:$F$11</c:f>
              <c:strCache>
                <c:ptCount val="3"/>
                <c:pt idx="0">
                  <c:v>Lag 0</c:v>
                </c:pt>
                <c:pt idx="1">
                  <c:v>Lag 1</c:v>
                </c:pt>
                <c:pt idx="2">
                  <c:v>Lag 2</c:v>
                </c:pt>
              </c:strCache>
            </c:strRef>
          </c:cat>
          <c:val>
            <c:numRef>
              <c:f>Charts!$G$9:$G$11</c:f>
              <c:numCache>
                <c:formatCode>General</c:formatCode>
                <c:ptCount val="3"/>
                <c:pt idx="0">
                  <c:v>-0.33300000000000002</c:v>
                </c:pt>
                <c:pt idx="1">
                  <c:v>0.161</c:v>
                </c:pt>
                <c:pt idx="2">
                  <c:v>0.54700000000000004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9-49AC-A824-C8EE6ED6AC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239160"/>
        <c:axId val="548239880"/>
      </c:barChart>
      <c:catAx>
        <c:axId val="548239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39880"/>
        <c:crosses val="autoZero"/>
        <c:auto val="1"/>
        <c:lblAlgn val="ctr"/>
        <c:lblOffset val="100"/>
        <c:noMultiLvlLbl val="0"/>
      </c:catAx>
      <c:valAx>
        <c:axId val="548239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Pearson</a:t>
                </a:r>
                <a:r>
                  <a:rPr lang="en-IN" baseline="0"/>
                  <a:t> Correlation Coefficient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39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200024</xdr:colOff>
      <xdr:row>0</xdr:row>
      <xdr:rowOff>19049</xdr:rowOff>
    </xdr:from>
    <xdr:to>
      <xdr:col>20</xdr:col>
      <xdr:colOff>419100</xdr:colOff>
      <xdr:row>18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E916BF-B723-E670-1EC3-AF774781A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438150</xdr:colOff>
      <xdr:row>9</xdr:row>
      <xdr:rowOff>109537</xdr:rowOff>
    </xdr:from>
    <xdr:to>
      <xdr:col>15</xdr:col>
      <xdr:colOff>133350</xdr:colOff>
      <xdr:row>23</xdr:row>
      <xdr:rowOff>185737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ABA798-353F-1354-6861-E5DFABC87A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</xdr:row>
      <xdr:rowOff>147637</xdr:rowOff>
    </xdr:from>
    <xdr:to>
      <xdr:col>7</xdr:col>
      <xdr:colOff>304800</xdr:colOff>
      <xdr:row>26</xdr:row>
      <xdr:rowOff>33337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614B8C-F064-7409-0BB4-E889667EC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0.00524</cdr:x>
      <cdr:y>0.09012</cdr:y>
    </cdr:from>
    <cdr:to>
      <cdr:x>0.44673</cdr:x>
      <cdr:y>0.14745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3164305-AFFF-B601-BED3-577608760789}"/>
            </a:ext>
          </a:extLst>
        </cdr:cNvPr>
        <cdr:cNvSpPr txBox="1"/>
      </cdr:nvSpPr>
      <cdr:spPr>
        <a:xfrm xmlns:a="http://schemas.openxmlformats.org/drawingml/2006/main">
          <a:off x="26690" y="320196"/>
          <a:ext cx="2249786" cy="20368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chemeClr val="tx1">
              <a:lumMod val="95000"/>
              <a:lumOff val="5000"/>
            </a:schemeClr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100" b="1" kern="1200"/>
            <a:t>Correlation</a:t>
          </a:r>
          <a:r>
            <a:rPr lang="en-IN" sz="1100" b="1" kern="1200" baseline="0"/>
            <a:t> (2 Month Lag): 0.547</a:t>
          </a:r>
          <a:endParaRPr lang="en-IN" sz="1100" b="1" kern="12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i" refreshedDate="46071.593734027774" createdVersion="8" refreshedVersion="8" minRefreshableVersion="3" recordCount="1460" xr:uid="{79FCD505-E286-4D40-ABB9-693B0C6BE8DD}">
  <cacheSource type="worksheet">
    <worksheetSource ref="A1:G1461" sheet="raw_rainfall"/>
  </cacheSource>
  <cacheFields count="7">
    <cacheField name="State" numFmtId="0">
      <sharedItems/>
    </cacheField>
    <cacheField name="District" numFmtId="0">
      <sharedItems count="4">
        <s v="Pondicherry"/>
        <s v="Yanam"/>
        <s v="Karaikal"/>
        <s v="Mahe"/>
      </sharedItems>
    </cacheField>
    <cacheField name="Date" numFmtId="14">
      <sharedItems containsSemiMixedTypes="0" containsNonDate="0" containsDate="1" containsString="0" minDate="2019-01-01T00:00:00" maxDate="2020-01-01T00:00:00"/>
    </cacheField>
    <cacheField name="Year" numFmtId="0">
      <sharedItems containsSemiMixedTypes="0" containsString="0" containsNumber="1" containsInteger="1" minValue="2019" maxValue="2019" count="1">
        <n v="2019"/>
      </sharedItems>
    </cacheField>
    <cacheField name="Month" numFmtId="0">
      <sharedItems containsSemiMixedTypes="0" containsString="0" containsNumber="1" containsInteger="1" minValue="1" maxValue="12" count="12">
        <n v="10"/>
        <n v="11"/>
        <n v="12"/>
        <n v="3"/>
        <n v="6"/>
        <n v="8"/>
        <n v="9"/>
        <n v="1"/>
        <n v="2"/>
        <n v="4"/>
        <n v="5"/>
        <n v="7"/>
      </sharedItems>
    </cacheField>
    <cacheField name="Avg_rainfall" numFmtId="0">
      <sharedItems containsSemiMixedTypes="0" containsString="0" containsNumber="1" minValue="0" maxValue="220.87652589999999"/>
    </cacheField>
    <cacheField name="Agency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0">
  <r>
    <s v="Puducherry"/>
    <x v="0"/>
    <d v="2019-10-09T00:00:00"/>
    <x v="0"/>
    <x v="0"/>
    <n v="0"/>
    <s v="IMD GRID MODEL"/>
  </r>
  <r>
    <s v="Puducherry"/>
    <x v="0"/>
    <d v="2019-10-10T00:00:00"/>
    <x v="0"/>
    <x v="0"/>
    <n v="0"/>
    <s v="IMD GRID MODEL"/>
  </r>
  <r>
    <s v="Puducherry"/>
    <x v="0"/>
    <d v="2019-10-16T00:00:00"/>
    <x v="0"/>
    <x v="0"/>
    <n v="8.3884454949999991"/>
    <s v="IMD GRID MODEL"/>
  </r>
  <r>
    <s v="Puducherry"/>
    <x v="0"/>
    <d v="2019-10-26T00:00:00"/>
    <x v="0"/>
    <x v="0"/>
    <n v="1.6941763999999999"/>
    <s v="IMD GRID MODEL"/>
  </r>
  <r>
    <s v="Puducherry"/>
    <x v="0"/>
    <d v="2019-11-02T00:00:00"/>
    <x v="0"/>
    <x v="1"/>
    <n v="2.901784E-2"/>
    <s v="IMD GRID MODEL"/>
  </r>
  <r>
    <s v="Puducherry"/>
    <x v="0"/>
    <d v="2019-11-04T00:00:00"/>
    <x v="0"/>
    <x v="1"/>
    <n v="1.7113085E-2"/>
    <s v="IMD GRID MODEL"/>
  </r>
  <r>
    <s v="Puducherry"/>
    <x v="0"/>
    <d v="2019-11-20T00:00:00"/>
    <x v="0"/>
    <x v="1"/>
    <n v="12.058278980000001"/>
    <s v="IMD GRID MODEL"/>
  </r>
  <r>
    <s v="Puducherry"/>
    <x v="0"/>
    <d v="2019-11-27T00:00:00"/>
    <x v="0"/>
    <x v="1"/>
    <n v="28.054364419999999"/>
    <s v="IMD GRID MODEL"/>
  </r>
  <r>
    <s v="Puducherry"/>
    <x v="0"/>
    <d v="2019-11-29T00:00:00"/>
    <x v="0"/>
    <x v="1"/>
    <n v="14.34462847"/>
    <s v="IMD GRID MODEL"/>
  </r>
  <r>
    <s v="Puducherry"/>
    <x v="0"/>
    <d v="2019-11-30T00:00:00"/>
    <x v="0"/>
    <x v="1"/>
    <n v="17.91025977"/>
    <s v="IMD GRID MODEL"/>
  </r>
  <r>
    <s v="Puducherry"/>
    <x v="0"/>
    <d v="2019-12-10T00:00:00"/>
    <x v="0"/>
    <x v="2"/>
    <n v="0"/>
    <s v="IMD GRID MODEL"/>
  </r>
  <r>
    <s v="Puducherry"/>
    <x v="0"/>
    <d v="2019-12-20T00:00:00"/>
    <x v="0"/>
    <x v="2"/>
    <n v="0"/>
    <s v="IMD GRID MODEL"/>
  </r>
  <r>
    <s v="Puducherry"/>
    <x v="0"/>
    <d v="2019-12-21T00:00:00"/>
    <x v="0"/>
    <x v="2"/>
    <n v="0"/>
    <s v="IMD GRID MODEL"/>
  </r>
  <r>
    <s v="Puducherry"/>
    <x v="0"/>
    <d v="2019-12-23T00:00:00"/>
    <x v="0"/>
    <x v="2"/>
    <n v="0"/>
    <s v="IMD GRID MODEL"/>
  </r>
  <r>
    <s v="Puducherry"/>
    <x v="0"/>
    <d v="2019-12-24T00:00:00"/>
    <x v="0"/>
    <x v="2"/>
    <n v="0.34076183700000001"/>
    <s v="IMD GRID MODEL"/>
  </r>
  <r>
    <s v="Puducherry"/>
    <x v="0"/>
    <d v="2019-12-28T00:00:00"/>
    <x v="0"/>
    <x v="2"/>
    <n v="0"/>
    <s v="IMD GRID MODEL"/>
  </r>
  <r>
    <s v="Puducherry"/>
    <x v="0"/>
    <d v="2019-03-09T00:00:00"/>
    <x v="0"/>
    <x v="3"/>
    <n v="0"/>
    <s v="IMD GRID MODEL"/>
  </r>
  <r>
    <s v="Puducherry"/>
    <x v="0"/>
    <d v="2019-06-28T00:00:00"/>
    <x v="0"/>
    <x v="4"/>
    <n v="0"/>
    <s v="IMD GRID MODEL"/>
  </r>
  <r>
    <s v="Puducherry"/>
    <x v="0"/>
    <d v="2019-08-12T00:00:00"/>
    <x v="0"/>
    <x v="5"/>
    <n v="0"/>
    <s v="IMD GRID MODEL"/>
  </r>
  <r>
    <s v="Puducherry"/>
    <x v="0"/>
    <d v="2019-09-04T00:00:00"/>
    <x v="0"/>
    <x v="6"/>
    <n v="5.9286709450000004"/>
    <s v="IMD GRID MODEL"/>
  </r>
  <r>
    <s v="Puducherry"/>
    <x v="0"/>
    <d v="2019-11-05T00:00:00"/>
    <x v="0"/>
    <x v="1"/>
    <n v="0"/>
    <s v="IMD GRID MODEL"/>
  </r>
  <r>
    <s v="Puducherry"/>
    <x v="1"/>
    <d v="2019-01-02T00:00:00"/>
    <x v="0"/>
    <x v="7"/>
    <n v="0"/>
    <s v="IMD GRID MODEL"/>
  </r>
  <r>
    <s v="Puducherry"/>
    <x v="1"/>
    <d v="2019-01-17T00:00:00"/>
    <x v="0"/>
    <x v="7"/>
    <n v="0"/>
    <s v="IMD GRID MODEL"/>
  </r>
  <r>
    <s v="Puducherry"/>
    <x v="1"/>
    <d v="2019-01-20T00:00:00"/>
    <x v="0"/>
    <x v="7"/>
    <n v="0"/>
    <s v="IMD GRID MODEL"/>
  </r>
  <r>
    <s v="Puducherry"/>
    <x v="1"/>
    <d v="2019-01-24T00:00:00"/>
    <x v="0"/>
    <x v="7"/>
    <n v="0"/>
    <s v="IMD GRID MODEL"/>
  </r>
  <r>
    <s v="Puducherry"/>
    <x v="1"/>
    <d v="2019-01-30T00:00:00"/>
    <x v="0"/>
    <x v="7"/>
    <n v="0"/>
    <s v="IMD GRID MODEL"/>
  </r>
  <r>
    <s v="Puducherry"/>
    <x v="1"/>
    <d v="2019-01-31T00:00:00"/>
    <x v="0"/>
    <x v="7"/>
    <n v="0"/>
    <s v="IMD GRID MODEL"/>
  </r>
  <r>
    <s v="Puducherry"/>
    <x v="1"/>
    <d v="2019-02-03T00:00:00"/>
    <x v="0"/>
    <x v="8"/>
    <n v="0"/>
    <s v="IMD GRID MODEL"/>
  </r>
  <r>
    <s v="Puducherry"/>
    <x v="1"/>
    <d v="2019-02-07T00:00:00"/>
    <x v="0"/>
    <x v="8"/>
    <n v="0"/>
    <s v="IMD GRID MODEL"/>
  </r>
  <r>
    <s v="Puducherry"/>
    <x v="1"/>
    <d v="2019-02-17T00:00:00"/>
    <x v="0"/>
    <x v="8"/>
    <n v="0"/>
    <s v="IMD GRID MODEL"/>
  </r>
  <r>
    <s v="Puducherry"/>
    <x v="1"/>
    <d v="2019-02-18T00:00:00"/>
    <x v="0"/>
    <x v="8"/>
    <n v="0"/>
    <s v="IMD GRID MODEL"/>
  </r>
  <r>
    <s v="Puducherry"/>
    <x v="1"/>
    <d v="2019-02-19T00:00:00"/>
    <x v="0"/>
    <x v="8"/>
    <n v="0"/>
    <s v="IMD GRID MODEL"/>
  </r>
  <r>
    <s v="Puducherry"/>
    <x v="1"/>
    <d v="2019-02-22T00:00:00"/>
    <x v="0"/>
    <x v="8"/>
    <n v="0"/>
    <s v="IMD GRID MODEL"/>
  </r>
  <r>
    <s v="Puducherry"/>
    <x v="1"/>
    <d v="2019-02-23T00:00:00"/>
    <x v="0"/>
    <x v="8"/>
    <n v="0"/>
    <s v="IMD GRID MODEL"/>
  </r>
  <r>
    <s v="Puducherry"/>
    <x v="1"/>
    <d v="2019-02-28T00:00:00"/>
    <x v="0"/>
    <x v="8"/>
    <n v="0"/>
    <s v="IMD GRID MODEL"/>
  </r>
  <r>
    <s v="Puducherry"/>
    <x v="1"/>
    <d v="2019-02-26T00:00:00"/>
    <x v="0"/>
    <x v="8"/>
    <n v="0"/>
    <s v="IMD GRID MODEL"/>
  </r>
  <r>
    <s v="Puducherry"/>
    <x v="1"/>
    <d v="2019-03-13T00:00:00"/>
    <x v="0"/>
    <x v="3"/>
    <n v="0"/>
    <s v="IMD GRID MODEL"/>
  </r>
  <r>
    <s v="Puducherry"/>
    <x v="1"/>
    <d v="2019-03-16T00:00:00"/>
    <x v="0"/>
    <x v="3"/>
    <n v="0"/>
    <s v="IMD GRID MODEL"/>
  </r>
  <r>
    <s v="Puducherry"/>
    <x v="1"/>
    <d v="2019-03-20T00:00:00"/>
    <x v="0"/>
    <x v="3"/>
    <n v="0"/>
    <s v="IMD GRID MODEL"/>
  </r>
  <r>
    <s v="Puducherry"/>
    <x v="1"/>
    <d v="2019-04-02T00:00:00"/>
    <x v="0"/>
    <x v="9"/>
    <n v="0"/>
    <s v="IMD GRID MODEL"/>
  </r>
  <r>
    <s v="Puducherry"/>
    <x v="1"/>
    <d v="2019-04-07T00:00:00"/>
    <x v="0"/>
    <x v="9"/>
    <n v="22.058139799999999"/>
    <s v="IMD GRID MODEL"/>
  </r>
  <r>
    <s v="Puducherry"/>
    <x v="1"/>
    <d v="2019-04-08T00:00:00"/>
    <x v="0"/>
    <x v="9"/>
    <n v="0"/>
    <s v="IMD GRID MODEL"/>
  </r>
  <r>
    <s v="Puducherry"/>
    <x v="1"/>
    <d v="2019-04-14T00:00:00"/>
    <x v="0"/>
    <x v="9"/>
    <n v="0"/>
    <s v="IMD GRID MODEL"/>
  </r>
  <r>
    <s v="Puducherry"/>
    <x v="1"/>
    <d v="2019-05-03T00:00:00"/>
    <x v="0"/>
    <x v="10"/>
    <n v="0"/>
    <s v="IMD GRID MODEL"/>
  </r>
  <r>
    <s v="Puducherry"/>
    <x v="1"/>
    <d v="2019-05-06T00:00:00"/>
    <x v="0"/>
    <x v="10"/>
    <n v="0"/>
    <s v="IMD GRID MODEL"/>
  </r>
  <r>
    <s v="Puducherry"/>
    <x v="1"/>
    <d v="2019-05-08T00:00:00"/>
    <x v="0"/>
    <x v="10"/>
    <n v="3.7355711459999998"/>
    <s v="IMD GRID MODEL"/>
  </r>
  <r>
    <s v="Puducherry"/>
    <x v="1"/>
    <d v="2019-05-10T00:00:00"/>
    <x v="0"/>
    <x v="10"/>
    <n v="0"/>
    <s v="IMD GRID MODEL"/>
  </r>
  <r>
    <s v="Puducherry"/>
    <x v="1"/>
    <d v="2019-05-16T00:00:00"/>
    <x v="0"/>
    <x v="10"/>
    <n v="7.2376689909999996"/>
    <s v="IMD GRID MODEL"/>
  </r>
  <r>
    <s v="Puducherry"/>
    <x v="1"/>
    <d v="2019-05-26T00:00:00"/>
    <x v="0"/>
    <x v="10"/>
    <n v="0"/>
    <s v="IMD GRID MODEL"/>
  </r>
  <r>
    <s v="Puducherry"/>
    <x v="1"/>
    <d v="2019-05-28T00:00:00"/>
    <x v="0"/>
    <x v="10"/>
    <n v="9.6891384120000001"/>
    <s v="IMD GRID MODEL"/>
  </r>
  <r>
    <s v="Puducherry"/>
    <x v="1"/>
    <d v="2019-06-01T00:00:00"/>
    <x v="0"/>
    <x v="4"/>
    <n v="0"/>
    <s v="IMD GRID MODEL"/>
  </r>
  <r>
    <s v="Puducherry"/>
    <x v="1"/>
    <d v="2019-06-07T00:00:00"/>
    <x v="0"/>
    <x v="4"/>
    <n v="14.3156929"/>
    <s v="IMD GRID MODEL"/>
  </r>
  <r>
    <s v="Puducherry"/>
    <x v="1"/>
    <d v="2019-06-08T00:00:00"/>
    <x v="0"/>
    <x v="4"/>
    <n v="0"/>
    <s v="IMD GRID MODEL"/>
  </r>
  <r>
    <s v="Puducherry"/>
    <x v="1"/>
    <d v="2019-06-16T00:00:00"/>
    <x v="0"/>
    <x v="4"/>
    <n v="0"/>
    <s v="IMD GRID MODEL"/>
  </r>
  <r>
    <s v="Puducherry"/>
    <x v="1"/>
    <d v="2019-06-24T00:00:00"/>
    <x v="0"/>
    <x v="4"/>
    <n v="3.9378695490000002"/>
    <s v="IMD GRID MODEL"/>
  </r>
  <r>
    <s v="Puducherry"/>
    <x v="1"/>
    <d v="2019-06-25T00:00:00"/>
    <x v="0"/>
    <x v="4"/>
    <n v="13.342579840000001"/>
    <s v="IMD GRID MODEL"/>
  </r>
  <r>
    <s v="Puducherry"/>
    <x v="1"/>
    <d v="2019-06-28T00:00:00"/>
    <x v="0"/>
    <x v="4"/>
    <n v="0"/>
    <s v="IMD GRID MODEL"/>
  </r>
  <r>
    <s v="Puducherry"/>
    <x v="1"/>
    <d v="2019-07-02T00:00:00"/>
    <x v="0"/>
    <x v="11"/>
    <n v="0.92119419599999997"/>
    <s v="IMD GRID MODEL"/>
  </r>
  <r>
    <s v="Puducherry"/>
    <x v="1"/>
    <d v="2019-07-04T00:00:00"/>
    <x v="0"/>
    <x v="11"/>
    <n v="1.40083921"/>
    <s v="IMD GRID MODEL"/>
  </r>
  <r>
    <s v="Puducherry"/>
    <x v="1"/>
    <d v="2019-07-05T00:00:00"/>
    <x v="0"/>
    <x v="11"/>
    <n v="2.1791501050000002"/>
    <s v="IMD GRID MODEL"/>
  </r>
  <r>
    <s v="Puducherry"/>
    <x v="1"/>
    <d v="2019-07-09T00:00:00"/>
    <x v="0"/>
    <x v="11"/>
    <n v="8.5629405980000008"/>
    <s v="IMD GRID MODEL"/>
  </r>
  <r>
    <s v="Puducherry"/>
    <x v="1"/>
    <d v="2019-07-13T00:00:00"/>
    <x v="0"/>
    <x v="11"/>
    <n v="0"/>
    <s v="IMD GRID MODEL"/>
  </r>
  <r>
    <s v="Puducherry"/>
    <x v="1"/>
    <d v="2019-07-19T00:00:00"/>
    <x v="0"/>
    <x v="11"/>
    <n v="0.82814651699999997"/>
    <s v="IMD GRID MODEL"/>
  </r>
  <r>
    <s v="Puducherry"/>
    <x v="1"/>
    <d v="2019-07-20T00:00:00"/>
    <x v="0"/>
    <x v="11"/>
    <n v="6.9275650979999996"/>
    <s v="IMD GRID MODEL"/>
  </r>
  <r>
    <s v="Puducherry"/>
    <x v="1"/>
    <d v="2019-07-22T00:00:00"/>
    <x v="0"/>
    <x v="11"/>
    <n v="0"/>
    <s v="IMD GRID MODEL"/>
  </r>
  <r>
    <s v="Puducherry"/>
    <x v="1"/>
    <d v="2019-07-24T00:00:00"/>
    <x v="0"/>
    <x v="11"/>
    <n v="1.8677855729999999"/>
    <s v="IMD GRID MODEL"/>
  </r>
  <r>
    <s v="Puducherry"/>
    <x v="1"/>
    <d v="2019-07-25T00:00:00"/>
    <x v="0"/>
    <x v="11"/>
    <n v="3.4054086209999999"/>
    <s v="IMD GRID MODEL"/>
  </r>
  <r>
    <s v="Puducherry"/>
    <x v="1"/>
    <d v="2019-07-27T00:00:00"/>
    <x v="0"/>
    <x v="11"/>
    <n v="25.54196739"/>
    <s v="IMD GRID MODEL"/>
  </r>
  <r>
    <s v="Puducherry"/>
    <x v="1"/>
    <d v="2019-07-31T00:00:00"/>
    <x v="0"/>
    <x v="11"/>
    <n v="2.3931002619999999"/>
    <s v="IMD GRID MODEL"/>
  </r>
  <r>
    <s v="Puducherry"/>
    <x v="1"/>
    <d v="2019-08-03T00:00:00"/>
    <x v="0"/>
    <x v="5"/>
    <n v="25.499456410000001"/>
    <s v="IMD GRID MODEL"/>
  </r>
  <r>
    <s v="Puducherry"/>
    <x v="1"/>
    <d v="2019-08-06T00:00:00"/>
    <x v="0"/>
    <x v="5"/>
    <n v="9.0058860779999996"/>
    <s v="IMD GRID MODEL"/>
  </r>
  <r>
    <s v="Puducherry"/>
    <x v="1"/>
    <d v="2019-08-10T00:00:00"/>
    <x v="0"/>
    <x v="5"/>
    <n v="1.40083921"/>
    <s v="IMD GRID MODEL"/>
  </r>
  <r>
    <s v="Puducherry"/>
    <x v="1"/>
    <d v="2019-08-12T00:00:00"/>
    <x v="0"/>
    <x v="5"/>
    <n v="0"/>
    <s v="IMD GRID MODEL"/>
  </r>
  <r>
    <s v="Puducherry"/>
    <x v="1"/>
    <d v="2019-08-17T00:00:00"/>
    <x v="0"/>
    <x v="5"/>
    <n v="0"/>
    <s v="IMD GRID MODEL"/>
  </r>
  <r>
    <s v="Puducherry"/>
    <x v="1"/>
    <d v="2019-08-19T00:00:00"/>
    <x v="0"/>
    <x v="5"/>
    <n v="14.83800125"/>
    <s v="IMD GRID MODEL"/>
  </r>
  <r>
    <s v="Puducherry"/>
    <x v="1"/>
    <d v="2019-08-24T00:00:00"/>
    <x v="0"/>
    <x v="5"/>
    <n v="8.587625504"/>
    <s v="IMD GRID MODEL"/>
  </r>
  <r>
    <s v="Puducherry"/>
    <x v="1"/>
    <d v="2019-08-27T00:00:00"/>
    <x v="0"/>
    <x v="5"/>
    <n v="0"/>
    <s v="IMD GRID MODEL"/>
  </r>
  <r>
    <s v="Puducherry"/>
    <x v="1"/>
    <d v="2019-08-28T00:00:00"/>
    <x v="0"/>
    <x v="5"/>
    <n v="0"/>
    <s v="IMD GRID MODEL"/>
  </r>
  <r>
    <s v="Puducherry"/>
    <x v="1"/>
    <d v="2019-08-29T00:00:00"/>
    <x v="0"/>
    <x v="5"/>
    <n v="0"/>
    <s v="IMD GRID MODEL"/>
  </r>
  <r>
    <s v="Puducherry"/>
    <x v="1"/>
    <d v="2019-09-01T00:00:00"/>
    <x v="0"/>
    <x v="6"/>
    <n v="0.54594820700000002"/>
    <s v="IMD GRID MODEL"/>
  </r>
  <r>
    <s v="Puducherry"/>
    <x v="1"/>
    <d v="2019-09-14T00:00:00"/>
    <x v="0"/>
    <x v="6"/>
    <n v="0.86698371200000002"/>
    <s v="IMD GRID MODEL"/>
  </r>
  <r>
    <s v="Puducherry"/>
    <x v="1"/>
    <d v="2019-10-05T00:00:00"/>
    <x v="0"/>
    <x v="0"/>
    <n v="0"/>
    <s v="IMD GRID MODEL"/>
  </r>
  <r>
    <s v="Puducherry"/>
    <x v="1"/>
    <d v="2019-10-09T00:00:00"/>
    <x v="0"/>
    <x v="0"/>
    <n v="1.8677855729999999"/>
    <s v="IMD GRID MODEL"/>
  </r>
  <r>
    <s v="Puducherry"/>
    <x v="1"/>
    <d v="2019-10-16T00:00:00"/>
    <x v="0"/>
    <x v="0"/>
    <n v="2.704989195"/>
    <s v="IMD GRID MODEL"/>
  </r>
  <r>
    <s v="Puducherry"/>
    <x v="1"/>
    <d v="2019-10-24T00:00:00"/>
    <x v="0"/>
    <x v="0"/>
    <n v="53.935123439999998"/>
    <s v="IMD GRID MODEL"/>
  </r>
  <r>
    <s v="Puducherry"/>
    <x v="1"/>
    <d v="2019-10-30T00:00:00"/>
    <x v="0"/>
    <x v="0"/>
    <n v="1.196269751"/>
    <s v="IMD GRID MODEL"/>
  </r>
  <r>
    <s v="Puducherry"/>
    <x v="1"/>
    <d v="2019-10-31T00:00:00"/>
    <x v="0"/>
    <x v="0"/>
    <n v="0"/>
    <s v="IMD GRID MODEL"/>
  </r>
  <r>
    <s v="Puducherry"/>
    <x v="1"/>
    <d v="2019-11-01T00:00:00"/>
    <x v="0"/>
    <x v="1"/>
    <n v="1.0180606839999999"/>
    <s v="IMD GRID MODEL"/>
  </r>
  <r>
    <s v="Puducherry"/>
    <x v="1"/>
    <d v="2019-11-18T00:00:00"/>
    <x v="0"/>
    <x v="1"/>
    <n v="0"/>
    <s v="IMD GRID MODEL"/>
  </r>
  <r>
    <s v="Puducherry"/>
    <x v="1"/>
    <d v="2019-12-01T00:00:00"/>
    <x v="0"/>
    <x v="2"/>
    <n v="0"/>
    <s v="IMD GRID MODEL"/>
  </r>
  <r>
    <s v="Puducherry"/>
    <x v="1"/>
    <d v="2019-12-02T00:00:00"/>
    <x v="0"/>
    <x v="2"/>
    <n v="0"/>
    <s v="IMD GRID MODEL"/>
  </r>
  <r>
    <s v="Puducherry"/>
    <x v="1"/>
    <d v="2019-12-10T00:00:00"/>
    <x v="0"/>
    <x v="2"/>
    <n v="0"/>
    <s v="IMD GRID MODEL"/>
  </r>
  <r>
    <s v="Puducherry"/>
    <x v="1"/>
    <d v="2019-12-13T00:00:00"/>
    <x v="0"/>
    <x v="2"/>
    <n v="0"/>
    <s v="IMD GRID MODEL"/>
  </r>
  <r>
    <s v="Puducherry"/>
    <x v="1"/>
    <d v="2019-12-17T00:00:00"/>
    <x v="0"/>
    <x v="2"/>
    <n v="0"/>
    <s v="IMD GRID MODEL"/>
  </r>
  <r>
    <s v="Puducherry"/>
    <x v="1"/>
    <d v="2019-12-22T00:00:00"/>
    <x v="0"/>
    <x v="2"/>
    <n v="0"/>
    <s v="IMD GRID MODEL"/>
  </r>
  <r>
    <s v="Puducherry"/>
    <x v="1"/>
    <d v="2019-12-31T00:00:00"/>
    <x v="0"/>
    <x v="2"/>
    <n v="0"/>
    <s v="IMD GRID MODEL"/>
  </r>
  <r>
    <s v="Puducherry"/>
    <x v="2"/>
    <d v="2019-04-08T00:00:00"/>
    <x v="0"/>
    <x v="9"/>
    <n v="0"/>
    <s v="IMD GRID MODEL"/>
  </r>
  <r>
    <s v="Puducherry"/>
    <x v="2"/>
    <d v="2019-04-10T00:00:00"/>
    <x v="0"/>
    <x v="9"/>
    <n v="0"/>
    <s v="IMD GRID MODEL"/>
  </r>
  <r>
    <s v="Puducherry"/>
    <x v="2"/>
    <d v="2019-04-16T00:00:00"/>
    <x v="0"/>
    <x v="9"/>
    <n v="0"/>
    <s v="IMD GRID MODEL"/>
  </r>
  <r>
    <s v="Puducherry"/>
    <x v="2"/>
    <d v="2019-04-17T00:00:00"/>
    <x v="0"/>
    <x v="9"/>
    <n v="0"/>
    <s v="IMD GRID MODEL"/>
  </r>
  <r>
    <s v="Puducherry"/>
    <x v="2"/>
    <d v="2019-04-18T00:00:00"/>
    <x v="0"/>
    <x v="9"/>
    <n v="0"/>
    <s v="IMD GRID MODEL"/>
  </r>
  <r>
    <s v="Puducherry"/>
    <x v="2"/>
    <d v="2019-04-19T00:00:00"/>
    <x v="0"/>
    <x v="9"/>
    <n v="0"/>
    <s v="IMD GRID MODEL"/>
  </r>
  <r>
    <s v="Puducherry"/>
    <x v="2"/>
    <d v="2019-04-20T00:00:00"/>
    <x v="0"/>
    <x v="9"/>
    <n v="0.101221874"/>
    <s v="IMD GRID MODEL"/>
  </r>
  <r>
    <s v="Puducherry"/>
    <x v="2"/>
    <d v="2019-04-22T00:00:00"/>
    <x v="0"/>
    <x v="9"/>
    <n v="0"/>
    <s v="IMD GRID MODEL"/>
  </r>
  <r>
    <s v="Puducherry"/>
    <x v="2"/>
    <d v="2019-04-23T00:00:00"/>
    <x v="0"/>
    <x v="9"/>
    <n v="0"/>
    <s v="IMD GRID MODEL"/>
  </r>
  <r>
    <s v="Puducherry"/>
    <x v="2"/>
    <d v="2019-05-01T00:00:00"/>
    <x v="0"/>
    <x v="10"/>
    <n v="0"/>
    <s v="IMD GRID MODEL"/>
  </r>
  <r>
    <s v="Puducherry"/>
    <x v="2"/>
    <d v="2019-05-02T00:00:00"/>
    <x v="0"/>
    <x v="10"/>
    <n v="0"/>
    <s v="IMD GRID MODEL"/>
  </r>
  <r>
    <s v="Puducherry"/>
    <x v="2"/>
    <d v="2019-05-05T00:00:00"/>
    <x v="0"/>
    <x v="10"/>
    <n v="0"/>
    <s v="IMD GRID MODEL"/>
  </r>
  <r>
    <s v="Puducherry"/>
    <x v="2"/>
    <d v="2019-05-19T00:00:00"/>
    <x v="0"/>
    <x v="10"/>
    <n v="0"/>
    <s v="IMD GRID MODEL"/>
  </r>
  <r>
    <s v="Puducherry"/>
    <x v="2"/>
    <d v="2019-05-26T00:00:00"/>
    <x v="0"/>
    <x v="10"/>
    <n v="0"/>
    <s v="IMD GRID MODEL"/>
  </r>
  <r>
    <s v="Puducherry"/>
    <x v="2"/>
    <d v="2019-06-13T00:00:00"/>
    <x v="0"/>
    <x v="4"/>
    <n v="0"/>
    <s v="IMD GRID MODEL"/>
  </r>
  <r>
    <s v="Puducherry"/>
    <x v="2"/>
    <d v="2019-06-24T00:00:00"/>
    <x v="0"/>
    <x v="4"/>
    <n v="0"/>
    <s v="IMD GRID MODEL"/>
  </r>
  <r>
    <s v="Puducherry"/>
    <x v="2"/>
    <d v="2019-06-26T00:00:00"/>
    <x v="0"/>
    <x v="4"/>
    <n v="1.4651176530000001"/>
    <s v="IMD GRID MODEL"/>
  </r>
  <r>
    <s v="Puducherry"/>
    <x v="2"/>
    <d v="2019-06-28T00:00:00"/>
    <x v="0"/>
    <x v="4"/>
    <n v="0"/>
    <s v="IMD GRID MODEL"/>
  </r>
  <r>
    <s v="Puducherry"/>
    <x v="2"/>
    <d v="2019-06-30T00:00:00"/>
    <x v="0"/>
    <x v="4"/>
    <n v="0"/>
    <s v="IMD GRID MODEL"/>
  </r>
  <r>
    <s v="Puducherry"/>
    <x v="2"/>
    <d v="2019-07-02T00:00:00"/>
    <x v="0"/>
    <x v="11"/>
    <n v="0"/>
    <s v="IMD GRID MODEL"/>
  </r>
  <r>
    <s v="Puducherry"/>
    <x v="2"/>
    <d v="2019-07-05T00:00:00"/>
    <x v="0"/>
    <x v="11"/>
    <n v="0"/>
    <s v="IMD GRID MODEL"/>
  </r>
  <r>
    <s v="Puducherry"/>
    <x v="2"/>
    <d v="2019-07-07T00:00:00"/>
    <x v="0"/>
    <x v="11"/>
    <n v="0"/>
    <s v="IMD GRID MODEL"/>
  </r>
  <r>
    <s v="Puducherry"/>
    <x v="2"/>
    <d v="2019-07-19T00:00:00"/>
    <x v="0"/>
    <x v="11"/>
    <n v="0.55092889"/>
    <s v="IMD GRID MODEL"/>
  </r>
  <r>
    <s v="Puducherry"/>
    <x v="2"/>
    <d v="2019-07-23T00:00:00"/>
    <x v="0"/>
    <x v="11"/>
    <n v="0.68448540700000005"/>
    <s v="IMD GRID MODEL"/>
  </r>
  <r>
    <s v="Puducherry"/>
    <x v="2"/>
    <d v="2019-07-28T00:00:00"/>
    <x v="0"/>
    <x v="11"/>
    <n v="0"/>
    <s v="IMD GRID MODEL"/>
  </r>
  <r>
    <s v="Puducherry"/>
    <x v="2"/>
    <d v="2019-07-31T00:00:00"/>
    <x v="0"/>
    <x v="11"/>
    <n v="0"/>
    <s v="IMD GRID MODEL"/>
  </r>
  <r>
    <s v="Puducherry"/>
    <x v="2"/>
    <d v="2019-08-01T00:00:00"/>
    <x v="0"/>
    <x v="5"/>
    <n v="0"/>
    <s v="IMD GRID MODEL"/>
  </r>
  <r>
    <s v="Puducherry"/>
    <x v="2"/>
    <d v="2019-08-06T00:00:00"/>
    <x v="0"/>
    <x v="5"/>
    <n v="0.144935862"/>
    <s v="IMD GRID MODEL"/>
  </r>
  <r>
    <s v="Puducherry"/>
    <x v="2"/>
    <d v="2019-08-08T00:00:00"/>
    <x v="0"/>
    <x v="5"/>
    <n v="0"/>
    <s v="IMD GRID MODEL"/>
  </r>
  <r>
    <s v="Puducherry"/>
    <x v="2"/>
    <d v="2019-08-15T00:00:00"/>
    <x v="0"/>
    <x v="5"/>
    <n v="0"/>
    <s v="IMD GRID MODEL"/>
  </r>
  <r>
    <s v="Puducherry"/>
    <x v="2"/>
    <d v="2019-08-24T00:00:00"/>
    <x v="0"/>
    <x v="5"/>
    <n v="9.5000790449999997"/>
    <s v="IMD GRID MODEL"/>
  </r>
  <r>
    <s v="Puducherry"/>
    <x v="2"/>
    <d v="2019-08-25T00:00:00"/>
    <x v="0"/>
    <x v="5"/>
    <n v="0"/>
    <s v="IMD GRID MODEL"/>
  </r>
  <r>
    <s v="Puducherry"/>
    <x v="2"/>
    <d v="2019-08-27T00:00:00"/>
    <x v="0"/>
    <x v="5"/>
    <n v="3.7492828130000002"/>
    <s v="IMD GRID MODEL"/>
  </r>
  <r>
    <s v="Puducherry"/>
    <x v="2"/>
    <d v="2019-09-12T00:00:00"/>
    <x v="0"/>
    <x v="6"/>
    <n v="22.42033159"/>
    <s v="IMD GRID MODEL"/>
  </r>
  <r>
    <s v="Puducherry"/>
    <x v="2"/>
    <d v="2019-09-17T00:00:00"/>
    <x v="0"/>
    <x v="6"/>
    <n v="21.00828967"/>
    <s v="IMD GRID MODEL"/>
  </r>
  <r>
    <s v="Puducherry"/>
    <x v="2"/>
    <d v="2019-09-20T00:00:00"/>
    <x v="0"/>
    <x v="6"/>
    <n v="2.9554242660000001"/>
    <s v="IMD GRID MODEL"/>
  </r>
  <r>
    <s v="Puducherry"/>
    <x v="2"/>
    <d v="2019-10-01T00:00:00"/>
    <x v="0"/>
    <x v="0"/>
    <n v="1.265741615"/>
    <s v="IMD GRID MODEL"/>
  </r>
  <r>
    <s v="Puducherry"/>
    <x v="2"/>
    <d v="2019-10-08T00:00:00"/>
    <x v="0"/>
    <x v="0"/>
    <n v="0"/>
    <s v="IMD GRID MODEL"/>
  </r>
  <r>
    <s v="Puducherry"/>
    <x v="2"/>
    <d v="2019-10-15T00:00:00"/>
    <x v="0"/>
    <x v="0"/>
    <n v="11.30131585"/>
    <s v="IMD GRID MODEL"/>
  </r>
  <r>
    <s v="Puducherry"/>
    <x v="2"/>
    <d v="2019-10-26T00:00:00"/>
    <x v="0"/>
    <x v="0"/>
    <n v="0.144360342"/>
    <s v="IMD GRID MODEL"/>
  </r>
  <r>
    <s v="Puducherry"/>
    <x v="2"/>
    <d v="2019-10-29T00:00:00"/>
    <x v="0"/>
    <x v="0"/>
    <n v="17.029058289999998"/>
    <s v="IMD GRID MODEL"/>
  </r>
  <r>
    <s v="Puducherry"/>
    <x v="2"/>
    <d v="2019-11-09T00:00:00"/>
    <x v="0"/>
    <x v="1"/>
    <n v="0"/>
    <s v="IMD GRID MODEL"/>
  </r>
  <r>
    <s v="Puducherry"/>
    <x v="2"/>
    <d v="2019-11-17T00:00:00"/>
    <x v="0"/>
    <x v="1"/>
    <n v="6.7195965800000002"/>
    <s v="IMD GRID MODEL"/>
  </r>
  <r>
    <s v="Puducherry"/>
    <x v="2"/>
    <d v="2019-11-20T00:00:00"/>
    <x v="0"/>
    <x v="1"/>
    <n v="11.44684653"/>
    <s v="IMD GRID MODEL"/>
  </r>
  <r>
    <s v="Puducherry"/>
    <x v="2"/>
    <d v="2019-11-30T00:00:00"/>
    <x v="0"/>
    <x v="1"/>
    <n v="77.969503000000003"/>
    <s v="IMD GRID MODEL"/>
  </r>
  <r>
    <s v="Puducherry"/>
    <x v="2"/>
    <d v="2019-12-03T00:00:00"/>
    <x v="0"/>
    <x v="2"/>
    <n v="36.199601209999997"/>
    <s v="IMD GRID MODEL"/>
  </r>
  <r>
    <s v="Puducherry"/>
    <x v="2"/>
    <d v="2019-12-16T00:00:00"/>
    <x v="0"/>
    <x v="2"/>
    <n v="10.44505483"/>
    <s v="IMD GRID MODEL"/>
  </r>
  <r>
    <s v="Puducherry"/>
    <x v="2"/>
    <d v="2019-12-19T00:00:00"/>
    <x v="0"/>
    <x v="2"/>
    <n v="8.3378826549999996"/>
    <s v="IMD GRID MODEL"/>
  </r>
  <r>
    <s v="Puducherry"/>
    <x v="3"/>
    <d v="2019-01-01T00:00:00"/>
    <x v="0"/>
    <x v="7"/>
    <n v="0"/>
    <s v="IMD GRID MODEL"/>
  </r>
  <r>
    <s v="Puducherry"/>
    <x v="3"/>
    <d v="2019-01-02T00:00:00"/>
    <x v="0"/>
    <x v="7"/>
    <n v="0"/>
    <s v="IMD GRID MODEL"/>
  </r>
  <r>
    <s v="Puducherry"/>
    <x v="3"/>
    <d v="2019-01-09T00:00:00"/>
    <x v="0"/>
    <x v="7"/>
    <n v="0"/>
    <s v="IMD GRID MODEL"/>
  </r>
  <r>
    <s v="Puducherry"/>
    <x v="3"/>
    <d v="2019-01-31T00:00:00"/>
    <x v="0"/>
    <x v="7"/>
    <n v="0"/>
    <s v="IMD GRID MODEL"/>
  </r>
  <r>
    <s v="Puducherry"/>
    <x v="3"/>
    <d v="2019-02-02T00:00:00"/>
    <x v="0"/>
    <x v="8"/>
    <n v="0"/>
    <s v="IMD GRID MODEL"/>
  </r>
  <r>
    <s v="Puducherry"/>
    <x v="3"/>
    <d v="2019-02-04T00:00:00"/>
    <x v="0"/>
    <x v="8"/>
    <n v="0"/>
    <s v="IMD GRID MODEL"/>
  </r>
  <r>
    <s v="Puducherry"/>
    <x v="3"/>
    <d v="2019-02-11T00:00:00"/>
    <x v="0"/>
    <x v="8"/>
    <n v="0"/>
    <s v="IMD GRID MODEL"/>
  </r>
  <r>
    <s v="Puducherry"/>
    <x v="3"/>
    <d v="2019-02-12T00:00:00"/>
    <x v="0"/>
    <x v="8"/>
    <n v="0"/>
    <s v="IMD GRID MODEL"/>
  </r>
  <r>
    <s v="Puducherry"/>
    <x v="3"/>
    <d v="2019-02-17T00:00:00"/>
    <x v="0"/>
    <x v="8"/>
    <n v="0"/>
    <s v="IMD GRID MODEL"/>
  </r>
  <r>
    <s v="Puducherry"/>
    <x v="3"/>
    <d v="2019-02-20T00:00:00"/>
    <x v="0"/>
    <x v="8"/>
    <n v="0"/>
    <s v="IMD GRID MODEL"/>
  </r>
  <r>
    <s v="Puducherry"/>
    <x v="3"/>
    <d v="2019-02-25T00:00:00"/>
    <x v="0"/>
    <x v="8"/>
    <n v="0"/>
    <s v="IMD GRID MODEL"/>
  </r>
  <r>
    <s v="Puducherry"/>
    <x v="3"/>
    <d v="2019-02-27T00:00:00"/>
    <x v="0"/>
    <x v="8"/>
    <n v="0"/>
    <s v="IMD GRID MODEL"/>
  </r>
  <r>
    <s v="Puducherry"/>
    <x v="3"/>
    <d v="2019-03-05T00:00:00"/>
    <x v="0"/>
    <x v="3"/>
    <n v="0"/>
    <s v="IMD GRID MODEL"/>
  </r>
  <r>
    <s v="Puducherry"/>
    <x v="3"/>
    <d v="2019-03-06T00:00:00"/>
    <x v="0"/>
    <x v="3"/>
    <n v="0"/>
    <s v="IMD GRID MODEL"/>
  </r>
  <r>
    <s v="Puducherry"/>
    <x v="3"/>
    <d v="2019-03-08T00:00:00"/>
    <x v="0"/>
    <x v="3"/>
    <n v="0"/>
    <s v="IMD GRID MODEL"/>
  </r>
  <r>
    <s v="Puducherry"/>
    <x v="3"/>
    <d v="2019-03-21T00:00:00"/>
    <x v="0"/>
    <x v="3"/>
    <n v="0"/>
    <s v="IMD GRID MODEL"/>
  </r>
  <r>
    <s v="Puducherry"/>
    <x v="3"/>
    <d v="2019-04-01T00:00:00"/>
    <x v="0"/>
    <x v="9"/>
    <n v="0"/>
    <s v="IMD GRID MODEL"/>
  </r>
  <r>
    <s v="Puducherry"/>
    <x v="3"/>
    <d v="2019-04-07T00:00:00"/>
    <x v="0"/>
    <x v="9"/>
    <n v="0"/>
    <s v="IMD GRID MODEL"/>
  </r>
  <r>
    <s v="Puducherry"/>
    <x v="3"/>
    <d v="2019-04-08T00:00:00"/>
    <x v="0"/>
    <x v="9"/>
    <n v="0"/>
    <s v="IMD GRID MODEL"/>
  </r>
  <r>
    <s v="Puducherry"/>
    <x v="3"/>
    <d v="2019-04-11T00:00:00"/>
    <x v="0"/>
    <x v="9"/>
    <n v="0"/>
    <s v="IMD GRID MODEL"/>
  </r>
  <r>
    <s v="Puducherry"/>
    <x v="3"/>
    <d v="2019-04-20T00:00:00"/>
    <x v="0"/>
    <x v="9"/>
    <n v="0"/>
    <s v="IMD GRID MODEL"/>
  </r>
  <r>
    <s v="Puducherry"/>
    <x v="3"/>
    <d v="2019-04-24T00:00:00"/>
    <x v="0"/>
    <x v="9"/>
    <n v="7.0803556439999999"/>
    <s v="IMD GRID MODEL"/>
  </r>
  <r>
    <s v="Puducherry"/>
    <x v="3"/>
    <d v="2019-04-27T00:00:00"/>
    <x v="0"/>
    <x v="9"/>
    <n v="0"/>
    <s v="IMD GRID MODEL"/>
  </r>
  <r>
    <s v="Puducherry"/>
    <x v="3"/>
    <d v="2019-04-28T00:00:00"/>
    <x v="0"/>
    <x v="9"/>
    <n v="0"/>
    <s v="IMD GRID MODEL"/>
  </r>
  <r>
    <s v="Puducherry"/>
    <x v="3"/>
    <d v="2019-04-29T00:00:00"/>
    <x v="0"/>
    <x v="9"/>
    <n v="0"/>
    <s v="IMD GRID MODEL"/>
  </r>
  <r>
    <s v="Puducherry"/>
    <x v="3"/>
    <d v="2019-05-07T00:00:00"/>
    <x v="0"/>
    <x v="10"/>
    <n v="0"/>
    <s v="IMD GRID MODEL"/>
  </r>
  <r>
    <s v="Puducherry"/>
    <x v="3"/>
    <d v="2019-05-18T00:00:00"/>
    <x v="0"/>
    <x v="10"/>
    <n v="5.4705891610000004"/>
    <s v="IMD GRID MODEL"/>
  </r>
  <r>
    <s v="Puducherry"/>
    <x v="3"/>
    <d v="2019-05-19T00:00:00"/>
    <x v="0"/>
    <x v="10"/>
    <n v="0.17039738600000001"/>
    <s v="IMD GRID MODEL"/>
  </r>
  <r>
    <s v="Puducherry"/>
    <x v="3"/>
    <d v="2019-05-21T00:00:00"/>
    <x v="0"/>
    <x v="10"/>
    <n v="0"/>
    <s v="IMD GRID MODEL"/>
  </r>
  <r>
    <s v="Puducherry"/>
    <x v="3"/>
    <d v="2019-05-25T00:00:00"/>
    <x v="0"/>
    <x v="10"/>
    <n v="0"/>
    <s v="IMD GRID MODEL"/>
  </r>
  <r>
    <s v="Puducherry"/>
    <x v="3"/>
    <d v="2019-05-27T00:00:00"/>
    <x v="0"/>
    <x v="10"/>
    <n v="0.21299673599999999"/>
    <s v="IMD GRID MODEL"/>
  </r>
  <r>
    <s v="Puducherry"/>
    <x v="3"/>
    <d v="2019-05-29T00:00:00"/>
    <x v="0"/>
    <x v="10"/>
    <n v="15.96364784"/>
    <s v="IMD GRID MODEL"/>
  </r>
  <r>
    <s v="Puducherry"/>
    <x v="3"/>
    <d v="2019-06-03T00:00:00"/>
    <x v="0"/>
    <x v="4"/>
    <n v="8.3926877980000008"/>
    <s v="IMD GRID MODEL"/>
  </r>
  <r>
    <s v="Puducherry"/>
    <x v="3"/>
    <d v="2019-06-04T00:00:00"/>
    <x v="0"/>
    <x v="4"/>
    <n v="0"/>
    <s v="IMD GRID MODEL"/>
  </r>
  <r>
    <s v="Puducherry"/>
    <x v="3"/>
    <d v="2019-06-07T00:00:00"/>
    <x v="0"/>
    <x v="4"/>
    <n v="0"/>
    <s v="IMD GRID MODEL"/>
  </r>
  <r>
    <s v="Puducherry"/>
    <x v="3"/>
    <d v="2019-06-12T00:00:00"/>
    <x v="0"/>
    <x v="4"/>
    <n v="57.169486999999997"/>
    <s v="IMD GRID MODEL"/>
  </r>
  <r>
    <s v="Puducherry"/>
    <x v="3"/>
    <d v="2019-06-18T00:00:00"/>
    <x v="0"/>
    <x v="4"/>
    <n v="1.321480513"/>
    <s v="IMD GRID MODEL"/>
  </r>
  <r>
    <s v="Puducherry"/>
    <x v="3"/>
    <d v="2019-06-21T00:00:00"/>
    <x v="0"/>
    <x v="4"/>
    <n v="20.46828842"/>
    <s v="IMD GRID MODEL"/>
  </r>
  <r>
    <s v="Puducherry"/>
    <x v="3"/>
    <d v="2019-06-22T00:00:00"/>
    <x v="0"/>
    <x v="4"/>
    <n v="74.716789250000005"/>
    <s v="IMD GRID MODEL"/>
  </r>
  <r>
    <s v="Puducherry"/>
    <x v="3"/>
    <d v="2019-06-27T00:00:00"/>
    <x v="0"/>
    <x v="4"/>
    <n v="2.8013672829999998"/>
    <s v="IMD GRID MODEL"/>
  </r>
  <r>
    <s v="Puducherry"/>
    <x v="3"/>
    <d v="2019-06-30T00:00:00"/>
    <x v="0"/>
    <x v="4"/>
    <n v="2.2774467469999999"/>
    <s v="IMD GRID MODEL"/>
  </r>
  <r>
    <s v="Puducherry"/>
    <x v="3"/>
    <d v="2019-07-11T00:00:00"/>
    <x v="0"/>
    <x v="11"/>
    <n v="46.342559809999997"/>
    <s v="IMD GRID MODEL"/>
  </r>
  <r>
    <s v="Puducherry"/>
    <x v="3"/>
    <d v="2019-07-16T00:00:00"/>
    <x v="0"/>
    <x v="11"/>
    <n v="12.892506600000001"/>
    <s v="IMD GRID MODEL"/>
  </r>
  <r>
    <s v="Puducherry"/>
    <x v="3"/>
    <d v="2019-07-24T00:00:00"/>
    <x v="0"/>
    <x v="11"/>
    <n v="21.380325320000001"/>
    <s v="IMD GRID MODEL"/>
  </r>
  <r>
    <s v="Puducherry"/>
    <x v="3"/>
    <d v="2019-08-02T00:00:00"/>
    <x v="0"/>
    <x v="5"/>
    <n v="1.1715058089999999"/>
    <s v="IMD GRID MODEL"/>
  </r>
  <r>
    <s v="Puducherry"/>
    <x v="3"/>
    <d v="2019-08-03T00:00:00"/>
    <x v="0"/>
    <x v="5"/>
    <n v="10.10232162"/>
    <s v="IMD GRID MODEL"/>
  </r>
  <r>
    <s v="Puducherry"/>
    <x v="3"/>
    <d v="2019-08-09T00:00:00"/>
    <x v="0"/>
    <x v="5"/>
    <n v="220.87652589999999"/>
    <s v="IMD GRID MODEL"/>
  </r>
  <r>
    <s v="Puducherry"/>
    <x v="3"/>
    <d v="2019-08-11T00:00:00"/>
    <x v="0"/>
    <x v="5"/>
    <n v="132.31614690000001"/>
    <s v="IMD GRID MODEL"/>
  </r>
  <r>
    <s v="Puducherry"/>
    <x v="3"/>
    <d v="2019-08-13T00:00:00"/>
    <x v="0"/>
    <x v="5"/>
    <n v="25.064496989999999"/>
    <s v="IMD GRID MODEL"/>
  </r>
  <r>
    <s v="Puducherry"/>
    <x v="3"/>
    <d v="2019-08-14T00:00:00"/>
    <x v="0"/>
    <x v="5"/>
    <n v="58.250457760000003"/>
    <s v="IMD GRID MODEL"/>
  </r>
  <r>
    <s v="Puducherry"/>
    <x v="3"/>
    <d v="2019-08-16T00:00:00"/>
    <x v="0"/>
    <x v="5"/>
    <n v="10.37235832"/>
    <s v="IMD GRID MODEL"/>
  </r>
  <r>
    <s v="Puducherry"/>
    <x v="3"/>
    <d v="2019-08-19T00:00:00"/>
    <x v="0"/>
    <x v="5"/>
    <n v="5.0098295210000003"/>
    <s v="IMD GRID MODEL"/>
  </r>
  <r>
    <s v="Puducherry"/>
    <x v="3"/>
    <d v="2019-08-25T00:00:00"/>
    <x v="0"/>
    <x v="5"/>
    <n v="6.7070622440000003"/>
    <s v="IMD GRID MODEL"/>
  </r>
  <r>
    <s v="Puducherry"/>
    <x v="3"/>
    <d v="2019-08-30T00:00:00"/>
    <x v="0"/>
    <x v="5"/>
    <n v="57.486557009999999"/>
    <s v="IMD GRID MODEL"/>
  </r>
  <r>
    <s v="Puducherry"/>
    <x v="3"/>
    <d v="2019-08-31T00:00:00"/>
    <x v="0"/>
    <x v="5"/>
    <n v="23.29553413"/>
    <s v="IMD GRID MODEL"/>
  </r>
  <r>
    <s v="Puducherry"/>
    <x v="3"/>
    <d v="2019-08-29T00:00:00"/>
    <x v="0"/>
    <x v="5"/>
    <n v="29.300416949999999"/>
    <s v="IMD GRID MODEL"/>
  </r>
  <r>
    <s v="Puducherry"/>
    <x v="3"/>
    <d v="2019-09-03T00:00:00"/>
    <x v="0"/>
    <x v="6"/>
    <n v="17.76303291"/>
    <s v="IMD GRID MODEL"/>
  </r>
  <r>
    <s v="Puducherry"/>
    <x v="3"/>
    <d v="2019-09-06T00:00:00"/>
    <x v="0"/>
    <x v="6"/>
    <n v="33.625247960000003"/>
    <s v="IMD GRID MODEL"/>
  </r>
  <r>
    <s v="Puducherry"/>
    <x v="3"/>
    <d v="2019-09-20T00:00:00"/>
    <x v="0"/>
    <x v="6"/>
    <n v="4.537446976"/>
    <s v="IMD GRID MODEL"/>
  </r>
  <r>
    <s v="Puducherry"/>
    <x v="3"/>
    <d v="2019-09-24T00:00:00"/>
    <x v="0"/>
    <x v="6"/>
    <n v="5.3889269830000002"/>
    <s v="IMD GRID MODEL"/>
  </r>
  <r>
    <s v="Puducherry"/>
    <x v="3"/>
    <d v="2019-09-27T00:00:00"/>
    <x v="0"/>
    <x v="6"/>
    <n v="6.6561098100000002"/>
    <s v="IMD GRID MODEL"/>
  </r>
  <r>
    <s v="Puducherry"/>
    <x v="3"/>
    <d v="2019-09-29T00:00:00"/>
    <x v="0"/>
    <x v="6"/>
    <n v="4.641911983"/>
    <s v="IMD GRID MODEL"/>
  </r>
  <r>
    <s v="Puducherry"/>
    <x v="3"/>
    <d v="2019-09-30T00:00:00"/>
    <x v="0"/>
    <x v="6"/>
    <n v="0.21299673599999999"/>
    <s v="IMD GRID MODEL"/>
  </r>
  <r>
    <s v="Puducherry"/>
    <x v="3"/>
    <d v="2019-10-02T00:00:00"/>
    <x v="0"/>
    <x v="0"/>
    <n v="0.70290350899999998"/>
    <s v="IMD GRID MODEL"/>
  </r>
  <r>
    <s v="Puducherry"/>
    <x v="3"/>
    <d v="2019-10-05T00:00:00"/>
    <x v="0"/>
    <x v="0"/>
    <n v="0"/>
    <s v="IMD GRID MODEL"/>
  </r>
  <r>
    <s v="Puducherry"/>
    <x v="3"/>
    <d v="2019-10-08T00:00:00"/>
    <x v="0"/>
    <x v="0"/>
    <n v="3.9227428440000001"/>
    <s v="IMD GRID MODEL"/>
  </r>
  <r>
    <s v="Puducherry"/>
    <x v="3"/>
    <d v="2019-10-12T00:00:00"/>
    <x v="0"/>
    <x v="0"/>
    <n v="28.713603970000001"/>
    <s v="IMD GRID MODEL"/>
  </r>
  <r>
    <s v="Puducherry"/>
    <x v="3"/>
    <d v="2019-10-24T00:00:00"/>
    <x v="0"/>
    <x v="0"/>
    <n v="61.120574949999998"/>
    <s v="IMD GRID MODEL"/>
  </r>
  <r>
    <s v="Puducherry"/>
    <x v="3"/>
    <d v="2019-11-04T00:00:00"/>
    <x v="0"/>
    <x v="1"/>
    <n v="0"/>
    <s v="IMD GRID MODEL"/>
  </r>
  <r>
    <s v="Puducherry"/>
    <x v="3"/>
    <d v="2019-11-11T00:00:00"/>
    <x v="0"/>
    <x v="1"/>
    <n v="8.2797632219999997"/>
    <s v="IMD GRID MODEL"/>
  </r>
  <r>
    <s v="Puducherry"/>
    <x v="3"/>
    <d v="2019-11-17T00:00:00"/>
    <x v="0"/>
    <x v="1"/>
    <n v="0.46859279300000001"/>
    <s v="IMD GRID MODEL"/>
  </r>
  <r>
    <s v="Puducherry"/>
    <x v="3"/>
    <d v="2019-11-29T00:00:00"/>
    <x v="0"/>
    <x v="1"/>
    <n v="0"/>
    <s v="IMD GRID MODEL"/>
  </r>
  <r>
    <s v="Puducherry"/>
    <x v="3"/>
    <d v="2019-12-12T00:00:00"/>
    <x v="0"/>
    <x v="2"/>
    <n v="0"/>
    <s v="IMD GRID MODEL"/>
  </r>
  <r>
    <s v="Puducherry"/>
    <x v="3"/>
    <d v="2019-12-29T00:00:00"/>
    <x v="0"/>
    <x v="2"/>
    <n v="0"/>
    <s v="IMD GRID MODEL"/>
  </r>
  <r>
    <s v="Puducherry"/>
    <x v="0"/>
    <d v="2019-01-03T00:00:00"/>
    <x v="0"/>
    <x v="7"/>
    <n v="0"/>
    <s v="IMD GRID MODEL"/>
  </r>
  <r>
    <s v="Puducherry"/>
    <x v="0"/>
    <d v="2019-01-06T00:00:00"/>
    <x v="0"/>
    <x v="7"/>
    <n v="0"/>
    <s v="IMD GRID MODEL"/>
  </r>
  <r>
    <s v="Puducherry"/>
    <x v="0"/>
    <d v="2019-01-09T00:00:00"/>
    <x v="0"/>
    <x v="7"/>
    <n v="0"/>
    <s v="IMD GRID MODEL"/>
  </r>
  <r>
    <s v="Puducherry"/>
    <x v="0"/>
    <d v="2019-01-16T00:00:00"/>
    <x v="0"/>
    <x v="7"/>
    <n v="0"/>
    <s v="IMD GRID MODEL"/>
  </r>
  <r>
    <s v="Puducherry"/>
    <x v="0"/>
    <d v="2019-01-20T00:00:00"/>
    <x v="0"/>
    <x v="7"/>
    <n v="0"/>
    <s v="IMD GRID MODEL"/>
  </r>
  <r>
    <s v="Puducherry"/>
    <x v="0"/>
    <d v="2019-01-23T00:00:00"/>
    <x v="0"/>
    <x v="7"/>
    <n v="0"/>
    <s v="IMD GRID MODEL"/>
  </r>
  <r>
    <s v="Puducherry"/>
    <x v="0"/>
    <d v="2019-01-24T00:00:00"/>
    <x v="0"/>
    <x v="7"/>
    <n v="0"/>
    <s v="IMD GRID MODEL"/>
  </r>
  <r>
    <s v="Puducherry"/>
    <x v="0"/>
    <d v="2019-02-03T00:00:00"/>
    <x v="0"/>
    <x v="8"/>
    <n v="0"/>
    <s v="IMD GRID MODEL"/>
  </r>
  <r>
    <s v="Puducherry"/>
    <x v="0"/>
    <d v="2019-02-10T00:00:00"/>
    <x v="0"/>
    <x v="8"/>
    <n v="0"/>
    <s v="IMD GRID MODEL"/>
  </r>
  <r>
    <s v="Puducherry"/>
    <x v="0"/>
    <d v="2019-02-16T00:00:00"/>
    <x v="0"/>
    <x v="8"/>
    <n v="0"/>
    <s v="IMD GRID MODEL"/>
  </r>
  <r>
    <s v="Puducherry"/>
    <x v="0"/>
    <d v="2019-02-20T00:00:00"/>
    <x v="0"/>
    <x v="8"/>
    <n v="0"/>
    <s v="IMD GRID MODEL"/>
  </r>
  <r>
    <s v="Puducherry"/>
    <x v="0"/>
    <d v="2019-02-28T00:00:00"/>
    <x v="0"/>
    <x v="8"/>
    <n v="0"/>
    <s v="IMD GRID MODEL"/>
  </r>
  <r>
    <s v="Puducherry"/>
    <x v="0"/>
    <d v="2019-02-26T00:00:00"/>
    <x v="0"/>
    <x v="8"/>
    <n v="0"/>
    <s v="IMD GRID MODEL"/>
  </r>
  <r>
    <s v="Puducherry"/>
    <x v="0"/>
    <d v="2019-03-05T00:00:00"/>
    <x v="0"/>
    <x v="3"/>
    <n v="0"/>
    <s v="IMD GRID MODEL"/>
  </r>
  <r>
    <s v="Puducherry"/>
    <x v="0"/>
    <d v="2019-03-10T00:00:00"/>
    <x v="0"/>
    <x v="3"/>
    <n v="0"/>
    <s v="IMD GRID MODEL"/>
  </r>
  <r>
    <s v="Puducherry"/>
    <x v="0"/>
    <d v="2019-03-14T00:00:00"/>
    <x v="0"/>
    <x v="3"/>
    <n v="0"/>
    <s v="IMD GRID MODEL"/>
  </r>
  <r>
    <s v="Puducherry"/>
    <x v="0"/>
    <d v="2019-03-18T00:00:00"/>
    <x v="0"/>
    <x v="3"/>
    <n v="0"/>
    <s v="IMD GRID MODEL"/>
  </r>
  <r>
    <s v="Puducherry"/>
    <x v="0"/>
    <d v="2019-03-26T00:00:00"/>
    <x v="0"/>
    <x v="3"/>
    <n v="0"/>
    <s v="IMD GRID MODEL"/>
  </r>
  <r>
    <s v="Puducherry"/>
    <x v="0"/>
    <d v="2019-03-30T00:00:00"/>
    <x v="0"/>
    <x v="3"/>
    <n v="0"/>
    <s v="IMD GRID MODEL"/>
  </r>
  <r>
    <s v="Puducherry"/>
    <x v="0"/>
    <d v="2019-03-31T00:00:00"/>
    <x v="0"/>
    <x v="3"/>
    <n v="0"/>
    <s v="IMD GRID MODEL"/>
  </r>
  <r>
    <s v="Puducherry"/>
    <x v="0"/>
    <d v="2019-04-04T00:00:00"/>
    <x v="0"/>
    <x v="9"/>
    <n v="0"/>
    <s v="IMD GRID MODEL"/>
  </r>
  <r>
    <s v="Puducherry"/>
    <x v="0"/>
    <d v="2019-04-22T00:00:00"/>
    <x v="0"/>
    <x v="9"/>
    <n v="0"/>
    <s v="IMD GRID MODEL"/>
  </r>
  <r>
    <s v="Puducherry"/>
    <x v="0"/>
    <d v="2019-04-24T00:00:00"/>
    <x v="0"/>
    <x v="9"/>
    <n v="0"/>
    <s v="IMD GRID MODEL"/>
  </r>
  <r>
    <s v="Puducherry"/>
    <x v="0"/>
    <d v="2019-04-28T00:00:00"/>
    <x v="0"/>
    <x v="9"/>
    <n v="0"/>
    <s v="IMD GRID MODEL"/>
  </r>
  <r>
    <s v="Puducherry"/>
    <x v="0"/>
    <d v="2019-04-29T00:00:00"/>
    <x v="0"/>
    <x v="9"/>
    <n v="0"/>
    <s v="IMD GRID MODEL"/>
  </r>
  <r>
    <s v="Puducherry"/>
    <x v="0"/>
    <d v="2019-05-15T00:00:00"/>
    <x v="0"/>
    <x v="10"/>
    <n v="0"/>
    <s v="IMD GRID MODEL"/>
  </r>
  <r>
    <s v="Puducherry"/>
    <x v="0"/>
    <d v="2019-05-21T00:00:00"/>
    <x v="0"/>
    <x v="10"/>
    <n v="0"/>
    <s v="IMD GRID MODEL"/>
  </r>
  <r>
    <s v="Puducherry"/>
    <x v="0"/>
    <d v="2019-05-22T00:00:00"/>
    <x v="0"/>
    <x v="10"/>
    <n v="0"/>
    <s v="IMD GRID MODEL"/>
  </r>
  <r>
    <s v="Puducherry"/>
    <x v="0"/>
    <d v="2019-05-27T00:00:00"/>
    <x v="0"/>
    <x v="10"/>
    <n v="0"/>
    <s v="IMD GRID MODEL"/>
  </r>
  <r>
    <s v="Puducherry"/>
    <x v="0"/>
    <d v="2019-05-28T00:00:00"/>
    <x v="0"/>
    <x v="10"/>
    <n v="0"/>
    <s v="IMD GRID MODEL"/>
  </r>
  <r>
    <s v="Puducherry"/>
    <x v="0"/>
    <d v="2019-06-02T00:00:00"/>
    <x v="0"/>
    <x v="4"/>
    <n v="0"/>
    <s v="IMD GRID MODEL"/>
  </r>
  <r>
    <s v="Puducherry"/>
    <x v="0"/>
    <d v="2019-06-14T00:00:00"/>
    <x v="0"/>
    <x v="4"/>
    <n v="1.92434408"/>
    <s v="IMD GRID MODEL"/>
  </r>
  <r>
    <s v="Puducherry"/>
    <x v="0"/>
    <d v="2019-06-18T00:00:00"/>
    <x v="0"/>
    <x v="4"/>
    <n v="0"/>
    <s v="IMD GRID MODEL"/>
  </r>
  <r>
    <s v="Puducherry"/>
    <x v="0"/>
    <d v="2019-06-25T00:00:00"/>
    <x v="0"/>
    <x v="4"/>
    <n v="2.7307120060000001"/>
    <s v="IMD GRID MODEL"/>
  </r>
  <r>
    <s v="Puducherry"/>
    <x v="0"/>
    <d v="2019-07-03T00:00:00"/>
    <x v="0"/>
    <x v="11"/>
    <n v="0"/>
    <s v="IMD GRID MODEL"/>
  </r>
  <r>
    <s v="Puducherry"/>
    <x v="0"/>
    <d v="2019-07-05T00:00:00"/>
    <x v="0"/>
    <x v="11"/>
    <n v="0"/>
    <s v="IMD GRID MODEL"/>
  </r>
  <r>
    <s v="Puducherry"/>
    <x v="0"/>
    <d v="2019-07-09T00:00:00"/>
    <x v="0"/>
    <x v="11"/>
    <n v="1.0171021000000001E-2"/>
    <s v="IMD GRID MODEL"/>
  </r>
  <r>
    <s v="Puducherry"/>
    <x v="0"/>
    <d v="2019-07-12T00:00:00"/>
    <x v="0"/>
    <x v="11"/>
    <n v="6.8374897570000002"/>
    <s v="IMD GRID MODEL"/>
  </r>
  <r>
    <s v="Puducherry"/>
    <x v="0"/>
    <d v="2019-07-15T00:00:00"/>
    <x v="0"/>
    <x v="11"/>
    <n v="0"/>
    <s v="IMD GRID MODEL"/>
  </r>
  <r>
    <s v="Puducherry"/>
    <x v="0"/>
    <d v="2019-07-18T00:00:00"/>
    <x v="0"/>
    <x v="11"/>
    <n v="1.1866191999999999E-2"/>
    <s v="IMD GRID MODEL"/>
  </r>
  <r>
    <s v="Puducherry"/>
    <x v="0"/>
    <d v="2019-07-25T00:00:00"/>
    <x v="0"/>
    <x v="11"/>
    <n v="5.9332563580000004"/>
    <s v="IMD GRID MODEL"/>
  </r>
  <r>
    <s v="Puducherry"/>
    <x v="0"/>
    <d v="2019-07-27T00:00:00"/>
    <x v="0"/>
    <x v="11"/>
    <n v="1.5016564080000001"/>
    <s v="IMD GRID MODEL"/>
  </r>
  <r>
    <s v="Puducherry"/>
    <x v="0"/>
    <d v="2019-08-01T00:00:00"/>
    <x v="0"/>
    <x v="5"/>
    <n v="0"/>
    <s v="IMD GRID MODEL"/>
  </r>
  <r>
    <s v="Puducherry"/>
    <x v="0"/>
    <d v="2019-08-03T00:00:00"/>
    <x v="0"/>
    <x v="5"/>
    <n v="0"/>
    <s v="IMD GRID MODEL"/>
  </r>
  <r>
    <s v="Puducherry"/>
    <x v="0"/>
    <d v="2019-08-04T00:00:00"/>
    <x v="0"/>
    <x v="5"/>
    <n v="0"/>
    <s v="IMD GRID MODEL"/>
  </r>
  <r>
    <s v="Puducherry"/>
    <x v="0"/>
    <d v="2019-08-05T00:00:00"/>
    <x v="0"/>
    <x v="5"/>
    <n v="0"/>
    <s v="IMD GRID MODEL"/>
  </r>
  <r>
    <s v="Puducherry"/>
    <x v="0"/>
    <d v="2019-08-10T00:00:00"/>
    <x v="0"/>
    <x v="5"/>
    <n v="0"/>
    <s v="IMD GRID MODEL"/>
  </r>
  <r>
    <s v="Puducherry"/>
    <x v="0"/>
    <d v="2019-08-27T00:00:00"/>
    <x v="0"/>
    <x v="5"/>
    <n v="0"/>
    <s v="IMD GRID MODEL"/>
  </r>
  <r>
    <s v="Puducherry"/>
    <x v="0"/>
    <d v="2019-08-31T00:00:00"/>
    <x v="0"/>
    <x v="5"/>
    <n v="0.461226107"/>
    <s v="IMD GRID MODEL"/>
  </r>
  <r>
    <s v="Puducherry"/>
    <x v="0"/>
    <d v="2019-09-06T00:00:00"/>
    <x v="0"/>
    <x v="6"/>
    <n v="0"/>
    <s v="IMD GRID MODEL"/>
  </r>
  <r>
    <s v="Puducherry"/>
    <x v="0"/>
    <d v="2019-09-07T00:00:00"/>
    <x v="0"/>
    <x v="6"/>
    <n v="5.2936508330000001"/>
    <s v="IMD GRID MODEL"/>
  </r>
  <r>
    <s v="Puducherry"/>
    <x v="0"/>
    <d v="2019-09-08T00:00:00"/>
    <x v="0"/>
    <x v="6"/>
    <n v="0"/>
    <s v="IMD GRID MODEL"/>
  </r>
  <r>
    <s v="Puducherry"/>
    <x v="0"/>
    <d v="2019-09-09T00:00:00"/>
    <x v="0"/>
    <x v="6"/>
    <n v="0"/>
    <s v="IMD GRID MODEL"/>
  </r>
  <r>
    <s v="Puducherry"/>
    <x v="0"/>
    <d v="2019-09-11T00:00:00"/>
    <x v="0"/>
    <x v="6"/>
    <n v="5.0027205329999997"/>
    <s v="IMD GRID MODEL"/>
  </r>
  <r>
    <s v="Puducherry"/>
    <x v="0"/>
    <d v="2019-09-13T00:00:00"/>
    <x v="0"/>
    <x v="6"/>
    <n v="2.014375019"/>
    <s v="IMD GRID MODEL"/>
  </r>
  <r>
    <s v="Puducherry"/>
    <x v="0"/>
    <d v="2019-09-14T00:00:00"/>
    <x v="0"/>
    <x v="6"/>
    <n v="19.559510280000001"/>
    <s v="IMD GRID MODEL"/>
  </r>
  <r>
    <s v="Puducherry"/>
    <x v="0"/>
    <d v="2019-09-17T00:00:00"/>
    <x v="0"/>
    <x v="6"/>
    <n v="6.5319488879999996"/>
    <s v="IMD GRID MODEL"/>
  </r>
  <r>
    <s v="Puducherry"/>
    <x v="0"/>
    <d v="2019-09-18T00:00:00"/>
    <x v="0"/>
    <x v="6"/>
    <n v="11.545553569999999"/>
    <s v="IMD GRID MODEL"/>
  </r>
  <r>
    <s v="Puducherry"/>
    <x v="0"/>
    <d v="2019-09-21T00:00:00"/>
    <x v="0"/>
    <x v="6"/>
    <n v="0"/>
    <s v="IMD GRID MODEL"/>
  </r>
  <r>
    <s v="Puducherry"/>
    <x v="0"/>
    <d v="2019-09-23T00:00:00"/>
    <x v="0"/>
    <x v="6"/>
    <n v="2.2037214999999999E-2"/>
    <s v="IMD GRID MODEL"/>
  </r>
  <r>
    <s v="Puducherry"/>
    <x v="0"/>
    <d v="2019-09-30T00:00:00"/>
    <x v="0"/>
    <x v="6"/>
    <n v="3.7848877879999998"/>
    <s v="IMD GRID MODEL"/>
  </r>
  <r>
    <s v="Puducherry"/>
    <x v="2"/>
    <d v="2019-01-04T00:00:00"/>
    <x v="0"/>
    <x v="7"/>
    <n v="0"/>
    <s v="IMD GRID MODEL"/>
  </r>
  <r>
    <s v="Puducherry"/>
    <x v="2"/>
    <d v="2019-01-07T00:00:00"/>
    <x v="0"/>
    <x v="7"/>
    <n v="0"/>
    <s v="IMD GRID MODEL"/>
  </r>
  <r>
    <s v="Puducherry"/>
    <x v="2"/>
    <d v="2019-01-10T00:00:00"/>
    <x v="0"/>
    <x v="7"/>
    <n v="0"/>
    <s v="IMD GRID MODEL"/>
  </r>
  <r>
    <s v="Puducherry"/>
    <x v="2"/>
    <d v="2019-01-15T00:00:00"/>
    <x v="0"/>
    <x v="7"/>
    <n v="0"/>
    <s v="IMD GRID MODEL"/>
  </r>
  <r>
    <s v="Puducherry"/>
    <x v="2"/>
    <d v="2019-01-18T00:00:00"/>
    <x v="0"/>
    <x v="7"/>
    <n v="0"/>
    <s v="IMD GRID MODEL"/>
  </r>
  <r>
    <s v="Puducherry"/>
    <x v="2"/>
    <d v="2019-01-19T00:00:00"/>
    <x v="0"/>
    <x v="7"/>
    <n v="0"/>
    <s v="IMD GRID MODEL"/>
  </r>
  <r>
    <s v="Puducherry"/>
    <x v="2"/>
    <d v="2019-01-24T00:00:00"/>
    <x v="0"/>
    <x v="7"/>
    <n v="0"/>
    <s v="IMD GRID MODEL"/>
  </r>
  <r>
    <s v="Puducherry"/>
    <x v="2"/>
    <d v="2019-02-02T00:00:00"/>
    <x v="0"/>
    <x v="8"/>
    <n v="0"/>
    <s v="IMD GRID MODEL"/>
  </r>
  <r>
    <s v="Puducherry"/>
    <x v="2"/>
    <d v="2019-02-06T00:00:00"/>
    <x v="0"/>
    <x v="8"/>
    <n v="0"/>
    <s v="IMD GRID MODEL"/>
  </r>
  <r>
    <s v="Puducherry"/>
    <x v="2"/>
    <d v="2019-02-08T00:00:00"/>
    <x v="0"/>
    <x v="8"/>
    <n v="0"/>
    <s v="IMD GRID MODEL"/>
  </r>
  <r>
    <s v="Puducherry"/>
    <x v="2"/>
    <d v="2019-02-09T00:00:00"/>
    <x v="0"/>
    <x v="8"/>
    <n v="0"/>
    <s v="IMD GRID MODEL"/>
  </r>
  <r>
    <s v="Puducherry"/>
    <x v="2"/>
    <d v="2019-02-11T00:00:00"/>
    <x v="0"/>
    <x v="8"/>
    <n v="0"/>
    <s v="IMD GRID MODEL"/>
  </r>
  <r>
    <s v="Puducherry"/>
    <x v="2"/>
    <d v="2019-02-20T00:00:00"/>
    <x v="0"/>
    <x v="8"/>
    <n v="0"/>
    <s v="IMD GRID MODEL"/>
  </r>
  <r>
    <s v="Puducherry"/>
    <x v="2"/>
    <d v="2019-03-02T00:00:00"/>
    <x v="0"/>
    <x v="3"/>
    <n v="0"/>
    <s v="IMD GRID MODEL"/>
  </r>
  <r>
    <s v="Puducherry"/>
    <x v="2"/>
    <d v="2019-03-06T00:00:00"/>
    <x v="0"/>
    <x v="3"/>
    <n v="0"/>
    <s v="IMD GRID MODEL"/>
  </r>
  <r>
    <s v="Puducherry"/>
    <x v="2"/>
    <d v="2019-03-11T00:00:00"/>
    <x v="0"/>
    <x v="3"/>
    <n v="0"/>
    <s v="IMD GRID MODEL"/>
  </r>
  <r>
    <s v="Puducherry"/>
    <x v="2"/>
    <d v="2019-03-13T00:00:00"/>
    <x v="0"/>
    <x v="3"/>
    <n v="0"/>
    <s v="IMD GRID MODEL"/>
  </r>
  <r>
    <s v="Puducherry"/>
    <x v="2"/>
    <d v="2019-03-15T00:00:00"/>
    <x v="0"/>
    <x v="3"/>
    <n v="0"/>
    <s v="IMD GRID MODEL"/>
  </r>
  <r>
    <s v="Puducherry"/>
    <x v="2"/>
    <d v="2019-03-17T00:00:00"/>
    <x v="0"/>
    <x v="3"/>
    <n v="0"/>
    <s v="IMD GRID MODEL"/>
  </r>
  <r>
    <s v="Puducherry"/>
    <x v="2"/>
    <d v="2019-03-18T00:00:00"/>
    <x v="0"/>
    <x v="3"/>
    <n v="0"/>
    <s v="IMD GRID MODEL"/>
  </r>
  <r>
    <s v="Puducherry"/>
    <x v="2"/>
    <d v="2019-03-22T00:00:00"/>
    <x v="0"/>
    <x v="3"/>
    <n v="0"/>
    <s v="IMD GRID MODEL"/>
  </r>
  <r>
    <s v="Puducherry"/>
    <x v="2"/>
    <d v="2019-03-24T00:00:00"/>
    <x v="0"/>
    <x v="3"/>
    <n v="0"/>
    <s v="IMD GRID MODEL"/>
  </r>
  <r>
    <s v="Puducherry"/>
    <x v="2"/>
    <d v="2019-03-29T00:00:00"/>
    <x v="0"/>
    <x v="3"/>
    <n v="0"/>
    <s v="IMD GRID MODEL"/>
  </r>
  <r>
    <s v="Puducherry"/>
    <x v="2"/>
    <d v="2019-04-05T00:00:00"/>
    <x v="0"/>
    <x v="9"/>
    <n v="0"/>
    <s v="IMD GRID MODEL"/>
  </r>
  <r>
    <s v="Puducherry"/>
    <x v="1"/>
    <d v="2019-11-03T00:00:00"/>
    <x v="0"/>
    <x v="1"/>
    <n v="5.1828541760000002"/>
    <s v="IMD GRID MODEL"/>
  </r>
  <r>
    <s v="Puducherry"/>
    <x v="1"/>
    <d v="2019-11-10T00:00:00"/>
    <x v="0"/>
    <x v="1"/>
    <n v="0"/>
    <s v="IMD GRID MODEL"/>
  </r>
  <r>
    <s v="Puducherry"/>
    <x v="1"/>
    <d v="2019-11-15T00:00:00"/>
    <x v="0"/>
    <x v="1"/>
    <n v="0"/>
    <s v="IMD GRID MODEL"/>
  </r>
  <r>
    <s v="Puducherry"/>
    <x v="1"/>
    <d v="2019-11-20T00:00:00"/>
    <x v="0"/>
    <x v="1"/>
    <n v="0"/>
    <s v="IMD GRID MODEL"/>
  </r>
  <r>
    <s v="Puducherry"/>
    <x v="1"/>
    <d v="2019-12-04T00:00:00"/>
    <x v="0"/>
    <x v="2"/>
    <n v="0"/>
    <s v="IMD GRID MODEL"/>
  </r>
  <r>
    <s v="Puducherry"/>
    <x v="1"/>
    <d v="2019-12-06T00:00:00"/>
    <x v="0"/>
    <x v="2"/>
    <n v="0"/>
    <s v="IMD GRID MODEL"/>
  </r>
  <r>
    <s v="Puducherry"/>
    <x v="1"/>
    <d v="2019-12-09T00:00:00"/>
    <x v="0"/>
    <x v="2"/>
    <n v="0"/>
    <s v="IMD GRID MODEL"/>
  </r>
  <r>
    <s v="Puducherry"/>
    <x v="1"/>
    <d v="2019-12-07T00:00:00"/>
    <x v="0"/>
    <x v="2"/>
    <n v="0"/>
    <s v="IMD GRID MODEL"/>
  </r>
  <r>
    <s v="Puducherry"/>
    <x v="1"/>
    <d v="2019-12-12T00:00:00"/>
    <x v="0"/>
    <x v="2"/>
    <n v="0"/>
    <s v="IMD GRID MODEL"/>
  </r>
  <r>
    <s v="Puducherry"/>
    <x v="1"/>
    <d v="2019-12-19T00:00:00"/>
    <x v="0"/>
    <x v="2"/>
    <n v="0"/>
    <s v="IMD GRID MODEL"/>
  </r>
  <r>
    <s v="Puducherry"/>
    <x v="1"/>
    <d v="2019-12-21T00:00:00"/>
    <x v="0"/>
    <x v="2"/>
    <n v="0"/>
    <s v="IMD GRID MODEL"/>
  </r>
  <r>
    <s v="Puducherry"/>
    <x v="1"/>
    <d v="2019-12-27T00:00:00"/>
    <x v="0"/>
    <x v="2"/>
    <n v="0"/>
    <s v="IMD GRID MODEL"/>
  </r>
  <r>
    <s v="Puducherry"/>
    <x v="1"/>
    <d v="2019-12-28T00:00:00"/>
    <x v="0"/>
    <x v="2"/>
    <n v="0"/>
    <s v="IMD GRID MODEL"/>
  </r>
  <r>
    <s v="Puducherry"/>
    <x v="2"/>
    <d v="2019-01-01T00:00:00"/>
    <x v="0"/>
    <x v="7"/>
    <n v="0"/>
    <s v="IMD GRID MODEL"/>
  </r>
  <r>
    <s v="Puducherry"/>
    <x v="2"/>
    <d v="2019-01-03T00:00:00"/>
    <x v="0"/>
    <x v="7"/>
    <n v="0"/>
    <s v="IMD GRID MODEL"/>
  </r>
  <r>
    <s v="Puducherry"/>
    <x v="2"/>
    <d v="2019-01-05T00:00:00"/>
    <x v="0"/>
    <x v="7"/>
    <n v="0"/>
    <s v="IMD GRID MODEL"/>
  </r>
  <r>
    <s v="Puducherry"/>
    <x v="2"/>
    <d v="2019-01-06T00:00:00"/>
    <x v="0"/>
    <x v="7"/>
    <n v="0"/>
    <s v="IMD GRID MODEL"/>
  </r>
  <r>
    <s v="Puducherry"/>
    <x v="2"/>
    <d v="2019-01-12T00:00:00"/>
    <x v="0"/>
    <x v="7"/>
    <n v="0"/>
    <s v="IMD GRID MODEL"/>
  </r>
  <r>
    <s v="Puducherry"/>
    <x v="2"/>
    <d v="2019-01-17T00:00:00"/>
    <x v="0"/>
    <x v="7"/>
    <n v="0"/>
    <s v="IMD GRID MODEL"/>
  </r>
  <r>
    <s v="Puducherry"/>
    <x v="2"/>
    <d v="2019-01-23T00:00:00"/>
    <x v="0"/>
    <x v="7"/>
    <n v="0"/>
    <s v="IMD GRID MODEL"/>
  </r>
  <r>
    <s v="Puducherry"/>
    <x v="2"/>
    <d v="2019-01-27T00:00:00"/>
    <x v="0"/>
    <x v="7"/>
    <n v="0"/>
    <s v="IMD GRID MODEL"/>
  </r>
  <r>
    <s v="Puducherry"/>
    <x v="2"/>
    <d v="2019-01-31T00:00:00"/>
    <x v="0"/>
    <x v="7"/>
    <n v="0"/>
    <s v="IMD GRID MODEL"/>
  </r>
  <r>
    <s v="Puducherry"/>
    <x v="2"/>
    <d v="2019-02-01T00:00:00"/>
    <x v="0"/>
    <x v="8"/>
    <n v="0"/>
    <s v="IMD GRID MODEL"/>
  </r>
  <r>
    <s v="Puducherry"/>
    <x v="2"/>
    <d v="2019-02-10T00:00:00"/>
    <x v="0"/>
    <x v="8"/>
    <n v="0"/>
    <s v="IMD GRID MODEL"/>
  </r>
  <r>
    <s v="Puducherry"/>
    <x v="2"/>
    <d v="2019-02-13T00:00:00"/>
    <x v="0"/>
    <x v="8"/>
    <n v="0"/>
    <s v="IMD GRID MODEL"/>
  </r>
  <r>
    <s v="Puducherry"/>
    <x v="2"/>
    <d v="2019-02-15T00:00:00"/>
    <x v="0"/>
    <x v="8"/>
    <n v="0"/>
    <s v="IMD GRID MODEL"/>
  </r>
  <r>
    <s v="Puducherry"/>
    <x v="2"/>
    <d v="2019-02-18T00:00:00"/>
    <x v="0"/>
    <x v="8"/>
    <n v="0"/>
    <s v="IMD GRID MODEL"/>
  </r>
  <r>
    <s v="Puducherry"/>
    <x v="2"/>
    <d v="2019-02-19T00:00:00"/>
    <x v="0"/>
    <x v="8"/>
    <n v="0"/>
    <s v="IMD GRID MODEL"/>
  </r>
  <r>
    <s v="Puducherry"/>
    <x v="2"/>
    <d v="2019-02-21T00:00:00"/>
    <x v="0"/>
    <x v="8"/>
    <n v="0"/>
    <s v="IMD GRID MODEL"/>
  </r>
  <r>
    <s v="Puducherry"/>
    <x v="2"/>
    <d v="2019-02-24T00:00:00"/>
    <x v="0"/>
    <x v="8"/>
    <n v="0"/>
    <s v="IMD GRID MODEL"/>
  </r>
  <r>
    <s v="Puducherry"/>
    <x v="2"/>
    <d v="2019-02-25T00:00:00"/>
    <x v="0"/>
    <x v="8"/>
    <n v="0"/>
    <s v="IMD GRID MODEL"/>
  </r>
  <r>
    <s v="Puducherry"/>
    <x v="2"/>
    <d v="2019-02-26T00:00:00"/>
    <x v="0"/>
    <x v="8"/>
    <n v="0"/>
    <s v="IMD GRID MODEL"/>
  </r>
  <r>
    <s v="Puducherry"/>
    <x v="2"/>
    <d v="2019-03-03T00:00:00"/>
    <x v="0"/>
    <x v="3"/>
    <n v="0"/>
    <s v="IMD GRID MODEL"/>
  </r>
  <r>
    <s v="Puducherry"/>
    <x v="2"/>
    <d v="2019-03-12T00:00:00"/>
    <x v="0"/>
    <x v="3"/>
    <n v="0"/>
    <s v="IMD GRID MODEL"/>
  </r>
  <r>
    <s v="Puducherry"/>
    <x v="2"/>
    <d v="2019-03-14T00:00:00"/>
    <x v="0"/>
    <x v="3"/>
    <n v="0"/>
    <s v="IMD GRID MODEL"/>
  </r>
  <r>
    <s v="Puducherry"/>
    <x v="2"/>
    <d v="2019-03-16T00:00:00"/>
    <x v="0"/>
    <x v="3"/>
    <n v="0"/>
    <s v="IMD GRID MODEL"/>
  </r>
  <r>
    <s v="Puducherry"/>
    <x v="2"/>
    <d v="2019-03-21T00:00:00"/>
    <x v="0"/>
    <x v="3"/>
    <n v="0"/>
    <s v="IMD GRID MODEL"/>
  </r>
  <r>
    <s v="Puducherry"/>
    <x v="2"/>
    <d v="2019-03-26T00:00:00"/>
    <x v="0"/>
    <x v="3"/>
    <n v="0"/>
    <s v="IMD GRID MODEL"/>
  </r>
  <r>
    <s v="Puducherry"/>
    <x v="2"/>
    <d v="2019-03-28T00:00:00"/>
    <x v="0"/>
    <x v="3"/>
    <n v="0"/>
    <s v="IMD GRID MODEL"/>
  </r>
  <r>
    <s v="Puducherry"/>
    <x v="2"/>
    <d v="2019-04-11T00:00:00"/>
    <x v="0"/>
    <x v="9"/>
    <n v="0"/>
    <s v="IMD GRID MODEL"/>
  </r>
  <r>
    <s v="Puducherry"/>
    <x v="2"/>
    <d v="2019-04-12T00:00:00"/>
    <x v="0"/>
    <x v="9"/>
    <n v="0"/>
    <s v="IMD GRID MODEL"/>
  </r>
  <r>
    <s v="Puducherry"/>
    <x v="2"/>
    <d v="2019-04-15T00:00:00"/>
    <x v="0"/>
    <x v="9"/>
    <n v="0"/>
    <s v="IMD GRID MODEL"/>
  </r>
  <r>
    <s v="Puducherry"/>
    <x v="2"/>
    <d v="2019-04-27T00:00:00"/>
    <x v="0"/>
    <x v="9"/>
    <n v="0"/>
    <s v="IMD GRID MODEL"/>
  </r>
  <r>
    <s v="Puducherry"/>
    <x v="2"/>
    <d v="2019-04-30T00:00:00"/>
    <x v="0"/>
    <x v="9"/>
    <n v="0"/>
    <s v="IMD GRID MODEL"/>
  </r>
  <r>
    <s v="Puducherry"/>
    <x v="2"/>
    <d v="2019-05-08T00:00:00"/>
    <x v="0"/>
    <x v="10"/>
    <n v="0"/>
    <s v="IMD GRID MODEL"/>
  </r>
  <r>
    <s v="Puducherry"/>
    <x v="2"/>
    <d v="2019-05-10T00:00:00"/>
    <x v="0"/>
    <x v="10"/>
    <n v="0"/>
    <s v="IMD GRID MODEL"/>
  </r>
  <r>
    <s v="Puducherry"/>
    <x v="2"/>
    <d v="2019-05-13T00:00:00"/>
    <x v="0"/>
    <x v="10"/>
    <n v="0"/>
    <s v="IMD GRID MODEL"/>
  </r>
  <r>
    <s v="Puducherry"/>
    <x v="2"/>
    <d v="2019-05-14T00:00:00"/>
    <x v="0"/>
    <x v="10"/>
    <n v="0"/>
    <s v="IMD GRID MODEL"/>
  </r>
  <r>
    <s v="Puducherry"/>
    <x v="2"/>
    <d v="2019-05-20T00:00:00"/>
    <x v="0"/>
    <x v="10"/>
    <n v="0"/>
    <s v="IMD GRID MODEL"/>
  </r>
  <r>
    <s v="Puducherry"/>
    <x v="2"/>
    <d v="2019-05-22T00:00:00"/>
    <x v="0"/>
    <x v="10"/>
    <n v="0"/>
    <s v="IMD GRID MODEL"/>
  </r>
  <r>
    <s v="Puducherry"/>
    <x v="2"/>
    <d v="2019-05-24T00:00:00"/>
    <x v="0"/>
    <x v="10"/>
    <n v="0"/>
    <s v="IMD GRID MODEL"/>
  </r>
  <r>
    <s v="Puducherry"/>
    <x v="2"/>
    <d v="2019-05-25T00:00:00"/>
    <x v="0"/>
    <x v="10"/>
    <n v="0"/>
    <s v="IMD GRID MODEL"/>
  </r>
  <r>
    <s v="Puducherry"/>
    <x v="2"/>
    <d v="2019-06-02T00:00:00"/>
    <x v="0"/>
    <x v="4"/>
    <n v="0"/>
    <s v="IMD GRID MODEL"/>
  </r>
  <r>
    <s v="Puducherry"/>
    <x v="2"/>
    <d v="2019-06-05T00:00:00"/>
    <x v="0"/>
    <x v="4"/>
    <n v="0"/>
    <s v="IMD GRID MODEL"/>
  </r>
  <r>
    <s v="Puducherry"/>
    <x v="2"/>
    <d v="2019-06-06T00:00:00"/>
    <x v="0"/>
    <x v="4"/>
    <n v="0"/>
    <s v="IMD GRID MODEL"/>
  </r>
  <r>
    <s v="Puducherry"/>
    <x v="2"/>
    <d v="2019-06-12T00:00:00"/>
    <x v="0"/>
    <x v="4"/>
    <n v="0"/>
    <s v="IMD GRID MODEL"/>
  </r>
  <r>
    <s v="Puducherry"/>
    <x v="2"/>
    <d v="2019-06-14T00:00:00"/>
    <x v="0"/>
    <x v="4"/>
    <n v="0"/>
    <s v="IMD GRID MODEL"/>
  </r>
  <r>
    <s v="Puducherry"/>
    <x v="2"/>
    <d v="2019-06-16T00:00:00"/>
    <x v="0"/>
    <x v="4"/>
    <n v="0"/>
    <s v="IMD GRID MODEL"/>
  </r>
  <r>
    <s v="Puducherry"/>
    <x v="2"/>
    <d v="2019-06-22T00:00:00"/>
    <x v="0"/>
    <x v="4"/>
    <n v="0"/>
    <s v="IMD GRID MODEL"/>
  </r>
  <r>
    <s v="Puducherry"/>
    <x v="2"/>
    <d v="2019-06-29T00:00:00"/>
    <x v="0"/>
    <x v="4"/>
    <n v="0"/>
    <s v="IMD GRID MODEL"/>
  </r>
  <r>
    <s v="Puducherry"/>
    <x v="2"/>
    <d v="2019-07-03T00:00:00"/>
    <x v="0"/>
    <x v="11"/>
    <n v="0"/>
    <s v="IMD GRID MODEL"/>
  </r>
  <r>
    <s v="Puducherry"/>
    <x v="2"/>
    <d v="2019-07-04T00:00:00"/>
    <x v="0"/>
    <x v="11"/>
    <n v="0"/>
    <s v="IMD GRID MODEL"/>
  </r>
  <r>
    <s v="Puducherry"/>
    <x v="2"/>
    <d v="2019-07-10T00:00:00"/>
    <x v="0"/>
    <x v="11"/>
    <n v="0.45684649599999999"/>
    <s v="IMD GRID MODEL"/>
  </r>
  <r>
    <s v="Puducherry"/>
    <x v="2"/>
    <d v="2019-07-30T00:00:00"/>
    <x v="0"/>
    <x v="11"/>
    <n v="0"/>
    <s v="IMD GRID MODEL"/>
  </r>
  <r>
    <s v="Puducherry"/>
    <x v="2"/>
    <d v="2019-08-02T00:00:00"/>
    <x v="0"/>
    <x v="5"/>
    <n v="0"/>
    <s v="IMD GRID MODEL"/>
  </r>
  <r>
    <s v="Puducherry"/>
    <x v="2"/>
    <d v="2019-08-12T00:00:00"/>
    <x v="0"/>
    <x v="5"/>
    <n v="0.236112393"/>
    <s v="IMD GRID MODEL"/>
  </r>
  <r>
    <s v="Puducherry"/>
    <x v="2"/>
    <d v="2019-08-13T00:00:00"/>
    <x v="0"/>
    <x v="5"/>
    <n v="0.77889887999999996"/>
    <s v="IMD GRID MODEL"/>
  </r>
  <r>
    <s v="Puducherry"/>
    <x v="2"/>
    <d v="2019-08-18T00:00:00"/>
    <x v="0"/>
    <x v="5"/>
    <n v="1.5707695000000001E-2"/>
    <s v="IMD GRID MODEL"/>
  </r>
  <r>
    <s v="Puducherry"/>
    <x v="2"/>
    <d v="2019-08-22T00:00:00"/>
    <x v="0"/>
    <x v="5"/>
    <n v="32.659667519999999"/>
    <s v="IMD GRID MODEL"/>
  </r>
  <r>
    <s v="Puducherry"/>
    <x v="2"/>
    <d v="2019-09-02T00:00:00"/>
    <x v="0"/>
    <x v="6"/>
    <n v="0"/>
    <s v="IMD GRID MODEL"/>
  </r>
  <r>
    <s v="Puducherry"/>
    <x v="2"/>
    <d v="2019-09-06T00:00:00"/>
    <x v="0"/>
    <x v="6"/>
    <n v="0"/>
    <s v="IMD GRID MODEL"/>
  </r>
  <r>
    <s v="Puducherry"/>
    <x v="2"/>
    <d v="2019-09-08T00:00:00"/>
    <x v="0"/>
    <x v="6"/>
    <n v="0.148912454"/>
    <s v="IMD GRID MODEL"/>
  </r>
  <r>
    <s v="Puducherry"/>
    <x v="2"/>
    <d v="2019-09-10T00:00:00"/>
    <x v="0"/>
    <x v="6"/>
    <n v="0"/>
    <s v="IMD GRID MODEL"/>
  </r>
  <r>
    <s v="Puducherry"/>
    <x v="2"/>
    <d v="2019-09-11T00:00:00"/>
    <x v="0"/>
    <x v="6"/>
    <n v="0"/>
    <s v="IMD GRID MODEL"/>
  </r>
  <r>
    <s v="Puducherry"/>
    <x v="2"/>
    <d v="2019-09-28T00:00:00"/>
    <x v="0"/>
    <x v="6"/>
    <n v="0.444175655"/>
    <s v="IMD GRID MODEL"/>
  </r>
  <r>
    <s v="Puducherry"/>
    <x v="2"/>
    <d v="2019-10-02T00:00:00"/>
    <x v="0"/>
    <x v="0"/>
    <n v="0"/>
    <s v="IMD GRID MODEL"/>
  </r>
  <r>
    <s v="Puducherry"/>
    <x v="2"/>
    <d v="2019-10-06T00:00:00"/>
    <x v="0"/>
    <x v="0"/>
    <n v="0"/>
    <s v="IMD GRID MODEL"/>
  </r>
  <r>
    <s v="Puducherry"/>
    <x v="2"/>
    <d v="2019-10-16T00:00:00"/>
    <x v="0"/>
    <x v="0"/>
    <n v="13.07864322"/>
    <s v="IMD GRID MODEL"/>
  </r>
  <r>
    <s v="Puducherry"/>
    <x v="2"/>
    <d v="2019-10-22T00:00:00"/>
    <x v="0"/>
    <x v="0"/>
    <n v="82.366142670000002"/>
    <s v="IMD GRID MODEL"/>
  </r>
  <r>
    <s v="Puducherry"/>
    <x v="2"/>
    <d v="2019-11-02T00:00:00"/>
    <x v="0"/>
    <x v="1"/>
    <n v="1.388060217"/>
    <s v="IMD GRID MODEL"/>
  </r>
  <r>
    <s v="Puducherry"/>
    <x v="2"/>
    <d v="2019-11-03T00:00:00"/>
    <x v="0"/>
    <x v="1"/>
    <n v="0"/>
    <s v="IMD GRID MODEL"/>
  </r>
  <r>
    <s v="Puducherry"/>
    <x v="2"/>
    <d v="2019-11-08T00:00:00"/>
    <x v="0"/>
    <x v="1"/>
    <n v="0"/>
    <s v="IMD GRID MODEL"/>
  </r>
  <r>
    <s v="Puducherry"/>
    <x v="2"/>
    <d v="2019-11-25T00:00:00"/>
    <x v="0"/>
    <x v="1"/>
    <n v="3.2949050049999999"/>
    <s v="IMD GRID MODEL"/>
  </r>
  <r>
    <s v="Puducherry"/>
    <x v="2"/>
    <d v="2019-11-26T00:00:00"/>
    <x v="0"/>
    <x v="1"/>
    <n v="1.815261005"/>
    <s v="IMD GRID MODEL"/>
  </r>
  <r>
    <s v="Puducherry"/>
    <x v="2"/>
    <d v="2019-12-01T00:00:00"/>
    <x v="0"/>
    <x v="2"/>
    <n v="94.859351410000002"/>
    <s v="IMD GRID MODEL"/>
  </r>
  <r>
    <s v="Puducherry"/>
    <x v="2"/>
    <d v="2019-12-05T00:00:00"/>
    <x v="0"/>
    <x v="2"/>
    <n v="0"/>
    <s v="IMD GRID MODEL"/>
  </r>
  <r>
    <s v="Puducherry"/>
    <x v="2"/>
    <d v="2019-12-15T00:00:00"/>
    <x v="0"/>
    <x v="2"/>
    <n v="0.81098743699999998"/>
    <s v="IMD GRID MODEL"/>
  </r>
  <r>
    <s v="Puducherry"/>
    <x v="2"/>
    <d v="2019-12-17T00:00:00"/>
    <x v="0"/>
    <x v="2"/>
    <n v="4.3230092610000002"/>
    <s v="IMD GRID MODEL"/>
  </r>
  <r>
    <s v="Puducherry"/>
    <x v="2"/>
    <d v="2019-12-22T00:00:00"/>
    <x v="0"/>
    <x v="2"/>
    <n v="0"/>
    <s v="IMD GRID MODEL"/>
  </r>
  <r>
    <s v="Puducherry"/>
    <x v="2"/>
    <d v="2019-12-23T00:00:00"/>
    <x v="0"/>
    <x v="2"/>
    <n v="0"/>
    <s v="IMD GRID MODEL"/>
  </r>
  <r>
    <s v="Puducherry"/>
    <x v="2"/>
    <d v="2019-12-26T00:00:00"/>
    <x v="0"/>
    <x v="2"/>
    <n v="3.5119247630000001"/>
    <s v="IMD GRID MODEL"/>
  </r>
  <r>
    <s v="Puducherry"/>
    <x v="2"/>
    <d v="2019-12-27T00:00:00"/>
    <x v="0"/>
    <x v="2"/>
    <n v="0"/>
    <s v="IMD GRID MODEL"/>
  </r>
  <r>
    <s v="Puducherry"/>
    <x v="3"/>
    <d v="2019-01-04T00:00:00"/>
    <x v="0"/>
    <x v="7"/>
    <n v="0"/>
    <s v="IMD GRID MODEL"/>
  </r>
  <r>
    <s v="Puducherry"/>
    <x v="3"/>
    <d v="2019-01-06T00:00:00"/>
    <x v="0"/>
    <x v="7"/>
    <n v="0"/>
    <s v="IMD GRID MODEL"/>
  </r>
  <r>
    <s v="Puducherry"/>
    <x v="3"/>
    <d v="2019-01-12T00:00:00"/>
    <x v="0"/>
    <x v="7"/>
    <n v="0"/>
    <s v="IMD GRID MODEL"/>
  </r>
  <r>
    <s v="Puducherry"/>
    <x v="3"/>
    <d v="2019-02-13T00:00:00"/>
    <x v="0"/>
    <x v="8"/>
    <n v="0"/>
    <s v="IMD GRID MODEL"/>
  </r>
  <r>
    <s v="Puducherry"/>
    <x v="3"/>
    <d v="2019-02-15T00:00:00"/>
    <x v="0"/>
    <x v="8"/>
    <n v="0"/>
    <s v="IMD GRID MODEL"/>
  </r>
  <r>
    <s v="Puducherry"/>
    <x v="3"/>
    <d v="2019-02-22T00:00:00"/>
    <x v="0"/>
    <x v="8"/>
    <n v="0"/>
    <s v="IMD GRID MODEL"/>
  </r>
  <r>
    <s v="Puducherry"/>
    <x v="3"/>
    <d v="2019-03-01T00:00:00"/>
    <x v="0"/>
    <x v="3"/>
    <n v="0"/>
    <s v="IMD GRID MODEL"/>
  </r>
  <r>
    <s v="Puducherry"/>
    <x v="3"/>
    <d v="2019-03-03T00:00:00"/>
    <x v="0"/>
    <x v="3"/>
    <n v="0"/>
    <s v="IMD GRID MODEL"/>
  </r>
  <r>
    <s v="Puducherry"/>
    <x v="3"/>
    <d v="2019-03-04T00:00:00"/>
    <x v="0"/>
    <x v="3"/>
    <n v="0"/>
    <s v="IMD GRID MODEL"/>
  </r>
  <r>
    <s v="Puducherry"/>
    <x v="3"/>
    <d v="2019-03-09T00:00:00"/>
    <x v="0"/>
    <x v="3"/>
    <n v="0"/>
    <s v="IMD GRID MODEL"/>
  </r>
  <r>
    <s v="Puducherry"/>
    <x v="3"/>
    <d v="2019-03-14T00:00:00"/>
    <x v="0"/>
    <x v="3"/>
    <n v="0"/>
    <s v="IMD GRID MODEL"/>
  </r>
  <r>
    <s v="Puducherry"/>
    <x v="3"/>
    <d v="2019-03-15T00:00:00"/>
    <x v="0"/>
    <x v="3"/>
    <n v="0"/>
    <s v="IMD GRID MODEL"/>
  </r>
  <r>
    <s v="Puducherry"/>
    <x v="3"/>
    <d v="2019-03-16T00:00:00"/>
    <x v="0"/>
    <x v="3"/>
    <n v="0"/>
    <s v="IMD GRID MODEL"/>
  </r>
  <r>
    <s v="Puducherry"/>
    <x v="3"/>
    <d v="2019-03-30T00:00:00"/>
    <x v="0"/>
    <x v="3"/>
    <n v="0"/>
    <s v="IMD GRID MODEL"/>
  </r>
  <r>
    <s v="Puducherry"/>
    <x v="3"/>
    <d v="2019-04-15T00:00:00"/>
    <x v="0"/>
    <x v="9"/>
    <n v="0"/>
    <s v="IMD GRID MODEL"/>
  </r>
  <r>
    <s v="Puducherry"/>
    <x v="3"/>
    <d v="2019-04-17T00:00:00"/>
    <x v="0"/>
    <x v="9"/>
    <n v="0"/>
    <s v="IMD GRID MODEL"/>
  </r>
  <r>
    <s v="Puducherry"/>
    <x v="3"/>
    <d v="2019-04-14T00:00:00"/>
    <x v="0"/>
    <x v="9"/>
    <n v="0"/>
    <s v="IMD GRID MODEL"/>
  </r>
  <r>
    <s v="Puducherry"/>
    <x v="3"/>
    <d v="2019-04-18T00:00:00"/>
    <x v="0"/>
    <x v="9"/>
    <n v="3.8792617319999998"/>
    <s v="IMD GRID MODEL"/>
  </r>
  <r>
    <s v="Puducherry"/>
    <x v="3"/>
    <d v="2019-04-22T00:00:00"/>
    <x v="0"/>
    <x v="9"/>
    <n v="0"/>
    <s v="IMD GRID MODEL"/>
  </r>
  <r>
    <s v="Puducherry"/>
    <x v="3"/>
    <d v="2019-04-23T00:00:00"/>
    <x v="0"/>
    <x v="9"/>
    <n v="2.8450181479999999"/>
    <s v="IMD GRID MODEL"/>
  </r>
  <r>
    <s v="Puducherry"/>
    <x v="3"/>
    <d v="2019-04-26T00:00:00"/>
    <x v="0"/>
    <x v="9"/>
    <n v="0"/>
    <s v="IMD GRID MODEL"/>
  </r>
  <r>
    <s v="Puducherry"/>
    <x v="3"/>
    <d v="2019-05-05T00:00:00"/>
    <x v="0"/>
    <x v="10"/>
    <n v="0"/>
    <s v="IMD GRID MODEL"/>
  </r>
  <r>
    <s v="Puducherry"/>
    <x v="3"/>
    <d v="2019-05-17T00:00:00"/>
    <x v="0"/>
    <x v="10"/>
    <n v="0.86480659199999999"/>
    <s v="IMD GRID MODEL"/>
  </r>
  <r>
    <s v="Puducherry"/>
    <x v="3"/>
    <d v="2019-05-30T00:00:00"/>
    <x v="0"/>
    <x v="10"/>
    <n v="0"/>
    <s v="IMD GRID MODEL"/>
  </r>
  <r>
    <s v="Puducherry"/>
    <x v="3"/>
    <d v="2019-06-05T00:00:00"/>
    <x v="0"/>
    <x v="4"/>
    <n v="0"/>
    <s v="IMD GRID MODEL"/>
  </r>
  <r>
    <s v="Puducherry"/>
    <x v="3"/>
    <d v="2019-06-09T00:00:00"/>
    <x v="0"/>
    <x v="4"/>
    <n v="0"/>
    <s v="IMD GRID MODEL"/>
  </r>
  <r>
    <s v="Puducherry"/>
    <x v="3"/>
    <d v="2019-06-16T00:00:00"/>
    <x v="0"/>
    <x v="4"/>
    <n v="9.1680746079999995"/>
    <s v="IMD GRID MODEL"/>
  </r>
  <r>
    <s v="Puducherry"/>
    <x v="3"/>
    <d v="2019-06-20T00:00:00"/>
    <x v="0"/>
    <x v="4"/>
    <n v="34.419643399999998"/>
    <s v="IMD GRID MODEL"/>
  </r>
  <r>
    <s v="Puducherry"/>
    <x v="3"/>
    <d v="2019-06-29T00:00:00"/>
    <x v="0"/>
    <x v="4"/>
    <n v="2.1513097289999998"/>
    <s v="IMD GRID MODEL"/>
  </r>
  <r>
    <s v="Puducherry"/>
    <x v="3"/>
    <d v="2019-07-02T00:00:00"/>
    <x v="0"/>
    <x v="11"/>
    <n v="3.148211479"/>
    <s v="IMD GRID MODEL"/>
  </r>
  <r>
    <s v="Puducherry"/>
    <x v="3"/>
    <d v="2019-07-12T00:00:00"/>
    <x v="0"/>
    <x v="11"/>
    <n v="2.2774562839999999"/>
    <s v="IMD GRID MODEL"/>
  </r>
  <r>
    <s v="Puducherry"/>
    <x v="3"/>
    <d v="2019-07-20T00:00:00"/>
    <x v="0"/>
    <x v="11"/>
    <n v="168.23995969999999"/>
    <s v="IMD GRID MODEL"/>
  </r>
  <r>
    <s v="Puducherry"/>
    <x v="3"/>
    <d v="2019-07-22T00:00:00"/>
    <x v="0"/>
    <x v="11"/>
    <n v="123.75923160000001"/>
    <s v="IMD GRID MODEL"/>
  </r>
  <r>
    <s v="Puducherry"/>
    <x v="3"/>
    <d v="2019-07-25T00:00:00"/>
    <x v="0"/>
    <x v="11"/>
    <n v="21.685743330000001"/>
    <s v="IMD GRID MODEL"/>
  </r>
  <r>
    <s v="Puducherry"/>
    <x v="3"/>
    <d v="2019-07-30T00:00:00"/>
    <x v="0"/>
    <x v="11"/>
    <n v="17.849067689999998"/>
    <s v="IMD GRID MODEL"/>
  </r>
  <r>
    <s v="Puducherry"/>
    <x v="3"/>
    <d v="2019-08-06T00:00:00"/>
    <x v="0"/>
    <x v="5"/>
    <n v="52.362022400000001"/>
    <s v="IMD GRID MODEL"/>
  </r>
  <r>
    <s v="Puducherry"/>
    <x v="3"/>
    <d v="2019-08-07T00:00:00"/>
    <x v="0"/>
    <x v="5"/>
    <n v="96.498107910000002"/>
    <s v="IMD GRID MODEL"/>
  </r>
  <r>
    <s v="Puducherry"/>
    <x v="3"/>
    <d v="2019-08-15T00:00:00"/>
    <x v="0"/>
    <x v="5"/>
    <n v="81.161415099999999"/>
    <s v="IMD GRID MODEL"/>
  </r>
  <r>
    <s v="Puducherry"/>
    <x v="3"/>
    <d v="2019-08-23T00:00:00"/>
    <x v="0"/>
    <x v="5"/>
    <n v="28.585105899999999"/>
    <s v="IMD GRID MODEL"/>
  </r>
  <r>
    <s v="Puducherry"/>
    <x v="3"/>
    <d v="2019-08-26T00:00:00"/>
    <x v="0"/>
    <x v="5"/>
    <n v="104.8212738"/>
    <s v="IMD GRID MODEL"/>
  </r>
  <r>
    <s v="Puducherry"/>
    <x v="3"/>
    <d v="2019-09-02T00:00:00"/>
    <x v="0"/>
    <x v="6"/>
    <n v="48.396636960000002"/>
    <s v="IMD GRID MODEL"/>
  </r>
  <r>
    <s v="Puducherry"/>
    <x v="3"/>
    <d v="2019-09-21T00:00:00"/>
    <x v="0"/>
    <x v="6"/>
    <n v="0.29819542199999999"/>
    <s v="IMD GRID MODEL"/>
  </r>
  <r>
    <s v="Puducherry"/>
    <x v="3"/>
    <d v="2019-10-01T00:00:00"/>
    <x v="0"/>
    <x v="0"/>
    <n v="38.669124600000004"/>
    <s v="IMD GRID MODEL"/>
  </r>
  <r>
    <s v="Puducherry"/>
    <x v="3"/>
    <d v="2019-10-07T00:00:00"/>
    <x v="0"/>
    <x v="0"/>
    <n v="0"/>
    <s v="IMD GRID MODEL"/>
  </r>
  <r>
    <s v="Puducherry"/>
    <x v="3"/>
    <d v="2019-10-09T00:00:00"/>
    <x v="0"/>
    <x v="0"/>
    <n v="3.983119726"/>
    <s v="IMD GRID MODEL"/>
  </r>
  <r>
    <s v="Puducherry"/>
    <x v="3"/>
    <d v="2019-10-10T00:00:00"/>
    <x v="0"/>
    <x v="0"/>
    <n v="0"/>
    <s v="IMD GRID MODEL"/>
  </r>
  <r>
    <s v="Puducherry"/>
    <x v="3"/>
    <d v="2019-10-20T00:00:00"/>
    <x v="0"/>
    <x v="0"/>
    <n v="4.4716911320000001"/>
    <s v="IMD GRID MODEL"/>
  </r>
  <r>
    <s v="Puducherry"/>
    <x v="3"/>
    <d v="2019-10-30T00:00:00"/>
    <x v="0"/>
    <x v="0"/>
    <n v="0.25559607099999998"/>
    <s v="IMD GRID MODEL"/>
  </r>
  <r>
    <s v="Puducherry"/>
    <x v="3"/>
    <d v="2019-11-01T00:00:00"/>
    <x v="0"/>
    <x v="1"/>
    <n v="54.746730800000002"/>
    <s v="IMD GRID MODEL"/>
  </r>
  <r>
    <s v="Puducherry"/>
    <x v="3"/>
    <d v="2019-11-02T00:00:00"/>
    <x v="0"/>
    <x v="1"/>
    <n v="0"/>
    <s v="IMD GRID MODEL"/>
  </r>
  <r>
    <s v="Puducherry"/>
    <x v="3"/>
    <d v="2019-11-05T00:00:00"/>
    <x v="0"/>
    <x v="1"/>
    <n v="1.405807018"/>
    <s v="IMD GRID MODEL"/>
  </r>
  <r>
    <s v="Puducherry"/>
    <x v="3"/>
    <d v="2019-11-06T00:00:00"/>
    <x v="0"/>
    <x v="1"/>
    <n v="0"/>
    <s v="IMD GRID MODEL"/>
  </r>
  <r>
    <s v="Puducherry"/>
    <x v="3"/>
    <d v="2019-11-09T00:00:00"/>
    <x v="0"/>
    <x v="1"/>
    <n v="0"/>
    <s v="IMD GRID MODEL"/>
  </r>
  <r>
    <s v="Puducherry"/>
    <x v="3"/>
    <d v="2019-11-14T00:00:00"/>
    <x v="0"/>
    <x v="1"/>
    <n v="0"/>
    <s v="IMD GRID MODEL"/>
  </r>
  <r>
    <s v="Puducherry"/>
    <x v="3"/>
    <d v="2019-11-18T00:00:00"/>
    <x v="0"/>
    <x v="1"/>
    <n v="0"/>
    <s v="IMD GRID MODEL"/>
  </r>
  <r>
    <s v="Puducherry"/>
    <x v="3"/>
    <d v="2019-11-24T00:00:00"/>
    <x v="0"/>
    <x v="1"/>
    <n v="0"/>
    <s v="IMD GRID MODEL"/>
  </r>
  <r>
    <s v="Puducherry"/>
    <x v="3"/>
    <d v="2019-11-30T00:00:00"/>
    <x v="0"/>
    <x v="1"/>
    <n v="1.3122936489999999"/>
    <s v="IMD GRID MODEL"/>
  </r>
  <r>
    <s v="Puducherry"/>
    <x v="3"/>
    <d v="2019-12-01T00:00:00"/>
    <x v="0"/>
    <x v="2"/>
    <n v="0.435824722"/>
    <s v="IMD GRID MODEL"/>
  </r>
  <r>
    <s v="Puducherry"/>
    <x v="3"/>
    <d v="2019-12-06T00:00:00"/>
    <x v="0"/>
    <x v="2"/>
    <n v="0"/>
    <s v="IMD GRID MODEL"/>
  </r>
  <r>
    <s v="Puducherry"/>
    <x v="3"/>
    <d v="2019-12-13T00:00:00"/>
    <x v="0"/>
    <x v="2"/>
    <n v="0"/>
    <s v="IMD GRID MODEL"/>
  </r>
  <r>
    <s v="Puducherry"/>
    <x v="3"/>
    <d v="2019-12-15T00:00:00"/>
    <x v="0"/>
    <x v="2"/>
    <n v="3.7731947899999998"/>
    <s v="IMD GRID MODEL"/>
  </r>
  <r>
    <s v="Puducherry"/>
    <x v="3"/>
    <d v="2019-12-18T00:00:00"/>
    <x v="0"/>
    <x v="2"/>
    <n v="0"/>
    <s v="IMD GRID MODEL"/>
  </r>
  <r>
    <s v="Puducherry"/>
    <x v="3"/>
    <d v="2019-12-20T00:00:00"/>
    <x v="0"/>
    <x v="2"/>
    <n v="0"/>
    <s v="IMD GRID MODEL"/>
  </r>
  <r>
    <s v="Puducherry"/>
    <x v="3"/>
    <d v="2019-12-22T00:00:00"/>
    <x v="0"/>
    <x v="2"/>
    <n v="0"/>
    <s v="IMD GRID MODEL"/>
  </r>
  <r>
    <s v="Puducherry"/>
    <x v="3"/>
    <d v="2019-12-31T00:00:00"/>
    <x v="0"/>
    <x v="2"/>
    <n v="0"/>
    <s v="IMD GRID MODEL"/>
  </r>
  <r>
    <s v="Puducherry"/>
    <x v="0"/>
    <d v="2019-01-01T00:00:00"/>
    <x v="0"/>
    <x v="7"/>
    <n v="0"/>
    <s v="IMD GRID MODEL"/>
  </r>
  <r>
    <s v="Puducherry"/>
    <x v="0"/>
    <d v="2019-01-05T00:00:00"/>
    <x v="0"/>
    <x v="7"/>
    <n v="0"/>
    <s v="IMD GRID MODEL"/>
  </r>
  <r>
    <s v="Puducherry"/>
    <x v="0"/>
    <d v="2019-01-07T00:00:00"/>
    <x v="0"/>
    <x v="7"/>
    <n v="0"/>
    <s v="IMD GRID MODEL"/>
  </r>
  <r>
    <s v="Puducherry"/>
    <x v="0"/>
    <d v="2019-01-25T00:00:00"/>
    <x v="0"/>
    <x v="7"/>
    <n v="0"/>
    <s v="IMD GRID MODEL"/>
  </r>
  <r>
    <s v="Puducherry"/>
    <x v="0"/>
    <d v="2019-01-29T00:00:00"/>
    <x v="0"/>
    <x v="7"/>
    <n v="0"/>
    <s v="IMD GRID MODEL"/>
  </r>
  <r>
    <s v="Puducherry"/>
    <x v="0"/>
    <d v="2019-02-01T00:00:00"/>
    <x v="0"/>
    <x v="8"/>
    <n v="0"/>
    <s v="IMD GRID MODEL"/>
  </r>
  <r>
    <s v="Puducherry"/>
    <x v="0"/>
    <d v="2019-03-01T00:00:00"/>
    <x v="0"/>
    <x v="3"/>
    <n v="0"/>
    <s v="IMD GRID MODEL"/>
  </r>
  <r>
    <s v="Puducherry"/>
    <x v="0"/>
    <d v="2019-03-03T00:00:00"/>
    <x v="0"/>
    <x v="3"/>
    <n v="0"/>
    <s v="IMD GRID MODEL"/>
  </r>
  <r>
    <s v="Puducherry"/>
    <x v="0"/>
    <d v="2019-03-13T00:00:00"/>
    <x v="0"/>
    <x v="3"/>
    <n v="0"/>
    <s v="IMD GRID MODEL"/>
  </r>
  <r>
    <s v="Puducherry"/>
    <x v="0"/>
    <d v="2019-03-15T00:00:00"/>
    <x v="0"/>
    <x v="3"/>
    <n v="0"/>
    <s v="IMD GRID MODEL"/>
  </r>
  <r>
    <s v="Puducherry"/>
    <x v="0"/>
    <d v="2019-03-16T00:00:00"/>
    <x v="0"/>
    <x v="3"/>
    <n v="0"/>
    <s v="IMD GRID MODEL"/>
  </r>
  <r>
    <s v="Puducherry"/>
    <x v="0"/>
    <d v="2019-03-20T00:00:00"/>
    <x v="0"/>
    <x v="3"/>
    <n v="0"/>
    <s v="IMD GRID MODEL"/>
  </r>
  <r>
    <s v="Puducherry"/>
    <x v="0"/>
    <d v="2019-04-09T00:00:00"/>
    <x v="0"/>
    <x v="9"/>
    <n v="0"/>
    <s v="IMD GRID MODEL"/>
  </r>
  <r>
    <s v="Puducherry"/>
    <x v="0"/>
    <d v="2019-04-10T00:00:00"/>
    <x v="0"/>
    <x v="9"/>
    <n v="0"/>
    <s v="IMD GRID MODEL"/>
  </r>
  <r>
    <s v="Puducherry"/>
    <x v="0"/>
    <d v="2019-04-13T00:00:00"/>
    <x v="0"/>
    <x v="9"/>
    <n v="0"/>
    <s v="IMD GRID MODEL"/>
  </r>
  <r>
    <s v="Puducherry"/>
    <x v="0"/>
    <d v="2019-05-03T00:00:00"/>
    <x v="0"/>
    <x v="10"/>
    <n v="0"/>
    <s v="IMD GRID MODEL"/>
  </r>
  <r>
    <s v="Puducherry"/>
    <x v="0"/>
    <d v="2019-05-07T00:00:00"/>
    <x v="0"/>
    <x v="10"/>
    <n v="0"/>
    <s v="IMD GRID MODEL"/>
  </r>
  <r>
    <s v="Puducherry"/>
    <x v="0"/>
    <d v="2019-05-14T00:00:00"/>
    <x v="0"/>
    <x v="10"/>
    <n v="0"/>
    <s v="IMD GRID MODEL"/>
  </r>
  <r>
    <s v="Puducherry"/>
    <x v="0"/>
    <d v="2019-05-16T00:00:00"/>
    <x v="0"/>
    <x v="10"/>
    <n v="0"/>
    <s v="IMD GRID MODEL"/>
  </r>
  <r>
    <s v="Puducherry"/>
    <x v="0"/>
    <d v="2019-05-18T00:00:00"/>
    <x v="0"/>
    <x v="10"/>
    <n v="0"/>
    <s v="IMD GRID MODEL"/>
  </r>
  <r>
    <s v="Puducherry"/>
    <x v="0"/>
    <d v="2019-05-19T00:00:00"/>
    <x v="0"/>
    <x v="10"/>
    <n v="0"/>
    <s v="IMD GRID MODEL"/>
  </r>
  <r>
    <s v="Puducherry"/>
    <x v="0"/>
    <d v="2019-05-20T00:00:00"/>
    <x v="0"/>
    <x v="10"/>
    <n v="0"/>
    <s v="IMD GRID MODEL"/>
  </r>
  <r>
    <s v="Puducherry"/>
    <x v="0"/>
    <d v="2019-05-23T00:00:00"/>
    <x v="0"/>
    <x v="10"/>
    <n v="0"/>
    <s v="IMD GRID MODEL"/>
  </r>
  <r>
    <s v="Puducherry"/>
    <x v="0"/>
    <d v="2019-05-31T00:00:00"/>
    <x v="0"/>
    <x v="10"/>
    <n v="0"/>
    <s v="IMD GRID MODEL"/>
  </r>
  <r>
    <s v="Puducherry"/>
    <x v="0"/>
    <d v="2019-06-09T00:00:00"/>
    <x v="0"/>
    <x v="4"/>
    <n v="0"/>
    <s v="IMD GRID MODEL"/>
  </r>
  <r>
    <s v="Puducherry"/>
    <x v="0"/>
    <d v="2019-06-10T00:00:00"/>
    <x v="0"/>
    <x v="4"/>
    <n v="0"/>
    <s v="IMD GRID MODEL"/>
  </r>
  <r>
    <s v="Puducherry"/>
    <x v="0"/>
    <d v="2019-06-12T00:00:00"/>
    <x v="0"/>
    <x v="4"/>
    <n v="0"/>
    <s v="IMD GRID MODEL"/>
  </r>
  <r>
    <s v="Puducherry"/>
    <x v="0"/>
    <d v="2019-06-13T00:00:00"/>
    <x v="0"/>
    <x v="4"/>
    <n v="0"/>
    <s v="IMD GRID MODEL"/>
  </r>
  <r>
    <s v="Puducherry"/>
    <x v="0"/>
    <d v="2019-06-23T00:00:00"/>
    <x v="0"/>
    <x v="4"/>
    <n v="0"/>
    <s v="IMD GRID MODEL"/>
  </r>
  <r>
    <s v="Puducherry"/>
    <x v="0"/>
    <d v="2019-06-27T00:00:00"/>
    <x v="0"/>
    <x v="4"/>
    <n v="0.508517051"/>
    <s v="IMD GRID MODEL"/>
  </r>
  <r>
    <s v="Puducherry"/>
    <x v="0"/>
    <d v="2019-06-29T00:00:00"/>
    <x v="0"/>
    <x v="4"/>
    <n v="0"/>
    <s v="IMD GRID MODEL"/>
  </r>
  <r>
    <s v="Puducherry"/>
    <x v="0"/>
    <d v="2019-07-07T00:00:00"/>
    <x v="0"/>
    <x v="11"/>
    <n v="0"/>
    <s v="IMD GRID MODEL"/>
  </r>
  <r>
    <s v="Puducherry"/>
    <x v="0"/>
    <d v="2019-07-11T00:00:00"/>
    <x v="0"/>
    <x v="11"/>
    <n v="7.4471207279999998"/>
    <s v="IMD GRID MODEL"/>
  </r>
  <r>
    <s v="Puducherry"/>
    <x v="0"/>
    <d v="2019-07-13T00:00:00"/>
    <x v="0"/>
    <x v="11"/>
    <n v="29.483832230000001"/>
    <s v="IMD GRID MODEL"/>
  </r>
  <r>
    <s v="Puducherry"/>
    <x v="0"/>
    <d v="2019-07-19T00:00:00"/>
    <x v="0"/>
    <x v="11"/>
    <n v="23.818337979999999"/>
    <s v="IMD GRID MODEL"/>
  </r>
  <r>
    <s v="Puducherry"/>
    <x v="0"/>
    <d v="2019-07-28T00:00:00"/>
    <x v="0"/>
    <x v="11"/>
    <n v="0.47300309600000001"/>
    <s v="IMD GRID MODEL"/>
  </r>
  <r>
    <s v="Puducherry"/>
    <x v="0"/>
    <d v="2019-08-11T00:00:00"/>
    <x v="0"/>
    <x v="5"/>
    <n v="0"/>
    <s v="IMD GRID MODEL"/>
  </r>
  <r>
    <s v="Puducherry"/>
    <x v="0"/>
    <d v="2019-08-18T00:00:00"/>
    <x v="0"/>
    <x v="5"/>
    <n v="36.656873050000002"/>
    <s v="IMD GRID MODEL"/>
  </r>
  <r>
    <s v="Puducherry"/>
    <x v="0"/>
    <d v="2019-08-24T00:00:00"/>
    <x v="0"/>
    <x v="5"/>
    <n v="3.802981E-3"/>
    <s v="IMD GRID MODEL"/>
  </r>
  <r>
    <s v="Puducherry"/>
    <x v="0"/>
    <d v="2019-09-01T00:00:00"/>
    <x v="0"/>
    <x v="6"/>
    <n v="3.3903399999999999E-3"/>
    <s v="IMD GRID MODEL"/>
  </r>
  <r>
    <s v="Puducherry"/>
    <x v="0"/>
    <d v="2019-09-03T00:00:00"/>
    <x v="0"/>
    <x v="6"/>
    <n v="1.706452334"/>
    <s v="IMD GRID MODEL"/>
  </r>
  <r>
    <s v="Puducherry"/>
    <x v="0"/>
    <d v="2019-09-12T00:00:00"/>
    <x v="0"/>
    <x v="6"/>
    <n v="23.052816929999999"/>
    <s v="IMD GRID MODEL"/>
  </r>
  <r>
    <s v="Puducherry"/>
    <x v="0"/>
    <d v="2019-09-16T00:00:00"/>
    <x v="0"/>
    <x v="6"/>
    <n v="3.3142758880000001"/>
    <s v="IMD GRID MODEL"/>
  </r>
  <r>
    <s v="Puducherry"/>
    <x v="0"/>
    <d v="2019-09-28T00:00:00"/>
    <x v="0"/>
    <x v="6"/>
    <n v="0"/>
    <s v="IMD GRID MODEL"/>
  </r>
  <r>
    <s v="Puducherry"/>
    <x v="0"/>
    <d v="2019-10-02T00:00:00"/>
    <x v="0"/>
    <x v="0"/>
    <n v="0.305808943"/>
    <s v="IMD GRID MODEL"/>
  </r>
  <r>
    <s v="Puducherry"/>
    <x v="0"/>
    <d v="2019-10-06T00:00:00"/>
    <x v="0"/>
    <x v="0"/>
    <n v="0"/>
    <s v="IMD GRID MODEL"/>
  </r>
  <r>
    <s v="Puducherry"/>
    <x v="0"/>
    <d v="2019-10-12T00:00:00"/>
    <x v="0"/>
    <x v="0"/>
    <n v="2.6827013040000001"/>
    <s v="IMD GRID MODEL"/>
  </r>
  <r>
    <s v="Puducherry"/>
    <x v="0"/>
    <d v="2019-10-17T00:00:00"/>
    <x v="0"/>
    <x v="0"/>
    <n v="14.11055288"/>
    <s v="IMD GRID MODEL"/>
  </r>
  <r>
    <s v="Puducherry"/>
    <x v="0"/>
    <d v="2019-10-23T00:00:00"/>
    <x v="0"/>
    <x v="0"/>
    <n v="3.8972369069999999"/>
    <s v="IMD GRID MODEL"/>
  </r>
  <r>
    <s v="Puducherry"/>
    <x v="0"/>
    <d v="2019-10-30T00:00:00"/>
    <x v="0"/>
    <x v="0"/>
    <n v="73.362299109999995"/>
    <s v="IMD GRID MODEL"/>
  </r>
  <r>
    <s v="Puducherry"/>
    <x v="0"/>
    <d v="2019-11-07T00:00:00"/>
    <x v="0"/>
    <x v="1"/>
    <n v="0"/>
    <s v="IMD GRID MODEL"/>
  </r>
  <r>
    <s v="Puducherry"/>
    <x v="0"/>
    <d v="2019-11-08T00:00:00"/>
    <x v="0"/>
    <x v="1"/>
    <n v="0"/>
    <s v="IMD GRID MODEL"/>
  </r>
  <r>
    <s v="Puducherry"/>
    <x v="0"/>
    <d v="2019-11-12T00:00:00"/>
    <x v="0"/>
    <x v="1"/>
    <n v="0"/>
    <s v="IMD GRID MODEL"/>
  </r>
  <r>
    <s v="Puducherry"/>
    <x v="0"/>
    <d v="2019-11-13T00:00:00"/>
    <x v="0"/>
    <x v="1"/>
    <n v="0"/>
    <s v="IMD GRID MODEL"/>
  </r>
  <r>
    <s v="Puducherry"/>
    <x v="0"/>
    <d v="2019-11-14T00:00:00"/>
    <x v="0"/>
    <x v="1"/>
    <n v="5.1827561759999998"/>
    <s v="IMD GRID MODEL"/>
  </r>
  <r>
    <s v="Puducherry"/>
    <x v="0"/>
    <d v="2019-11-16T00:00:00"/>
    <x v="0"/>
    <x v="1"/>
    <n v="7.3298962809999999"/>
    <s v="IMD GRID MODEL"/>
  </r>
  <r>
    <s v="Puducherry"/>
    <x v="0"/>
    <d v="2019-11-21T00:00:00"/>
    <x v="0"/>
    <x v="1"/>
    <n v="6.5035311179999997"/>
    <s v="IMD GRID MODEL"/>
  </r>
  <r>
    <s v="Puducherry"/>
    <x v="0"/>
    <d v="2019-11-23T00:00:00"/>
    <x v="0"/>
    <x v="1"/>
    <n v="27.69630591"/>
    <s v="IMD GRID MODEL"/>
  </r>
  <r>
    <s v="Puducherry"/>
    <x v="0"/>
    <d v="2019-11-28T00:00:00"/>
    <x v="0"/>
    <x v="1"/>
    <n v="45.882490619999999"/>
    <s v="IMD GRID MODEL"/>
  </r>
  <r>
    <s v="Puducherry"/>
    <x v="0"/>
    <d v="2019-12-06T00:00:00"/>
    <x v="0"/>
    <x v="2"/>
    <n v="0"/>
    <s v="IMD GRID MODEL"/>
  </r>
  <r>
    <s v="Puducherry"/>
    <x v="0"/>
    <d v="2019-12-11T00:00:00"/>
    <x v="0"/>
    <x v="2"/>
    <n v="0"/>
    <s v="IMD GRID MODEL"/>
  </r>
  <r>
    <s v="Puducherry"/>
    <x v="0"/>
    <d v="2019-12-12T00:00:00"/>
    <x v="0"/>
    <x v="2"/>
    <n v="0"/>
    <s v="IMD GRID MODEL"/>
  </r>
  <r>
    <s v="Puducherry"/>
    <x v="0"/>
    <d v="2019-12-13T00:00:00"/>
    <x v="0"/>
    <x v="2"/>
    <n v="1.471725715"/>
    <s v="IMD GRID MODEL"/>
  </r>
  <r>
    <s v="Puducherry"/>
    <x v="0"/>
    <d v="2019-12-17T00:00:00"/>
    <x v="0"/>
    <x v="2"/>
    <n v="0.31280256200000001"/>
    <s v="IMD GRID MODEL"/>
  </r>
  <r>
    <s v="Puducherry"/>
    <x v="0"/>
    <d v="2019-12-27T00:00:00"/>
    <x v="0"/>
    <x v="2"/>
    <n v="0"/>
    <s v="IMD GRID MODEL"/>
  </r>
  <r>
    <s v="Puducherry"/>
    <x v="0"/>
    <d v="2019-12-31T00:00:00"/>
    <x v="0"/>
    <x v="2"/>
    <n v="25.29088101"/>
    <s v="IMD GRID MODEL"/>
  </r>
  <r>
    <s v="Puducherry"/>
    <x v="0"/>
    <d v="2019-04-23T00:00:00"/>
    <x v="0"/>
    <x v="9"/>
    <n v="0"/>
    <s v="IMD GRID MODEL"/>
  </r>
  <r>
    <s v="Puducherry"/>
    <x v="0"/>
    <d v="2019-11-03T00:00:00"/>
    <x v="0"/>
    <x v="1"/>
    <n v="0.84708819999999996"/>
    <s v="IMD GRID MODEL"/>
  </r>
  <r>
    <s v="Puducherry"/>
    <x v="1"/>
    <d v="2019-01-01T00:00:00"/>
    <x v="0"/>
    <x v="7"/>
    <n v="0"/>
    <s v="IMD GRID MODEL"/>
  </r>
  <r>
    <s v="Puducherry"/>
    <x v="1"/>
    <d v="2019-01-18T00:00:00"/>
    <x v="0"/>
    <x v="7"/>
    <n v="0"/>
    <s v="IMD GRID MODEL"/>
  </r>
  <r>
    <s v="Puducherry"/>
    <x v="1"/>
    <d v="2019-01-27T00:00:00"/>
    <x v="0"/>
    <x v="7"/>
    <n v="0"/>
    <s v="IMD GRID MODEL"/>
  </r>
  <r>
    <s v="Puducherry"/>
    <x v="1"/>
    <d v="2019-01-29T00:00:00"/>
    <x v="0"/>
    <x v="7"/>
    <n v="0"/>
    <s v="IMD GRID MODEL"/>
  </r>
  <r>
    <s v="Puducherry"/>
    <x v="1"/>
    <d v="2019-02-14T00:00:00"/>
    <x v="0"/>
    <x v="8"/>
    <n v="0"/>
    <s v="IMD GRID MODEL"/>
  </r>
  <r>
    <s v="Puducherry"/>
    <x v="1"/>
    <d v="2019-02-15T00:00:00"/>
    <x v="0"/>
    <x v="8"/>
    <n v="0"/>
    <s v="IMD GRID MODEL"/>
  </r>
  <r>
    <s v="Puducherry"/>
    <x v="1"/>
    <d v="2019-02-21T00:00:00"/>
    <x v="0"/>
    <x v="8"/>
    <n v="0"/>
    <s v="IMD GRID MODEL"/>
  </r>
  <r>
    <s v="Puducherry"/>
    <x v="1"/>
    <d v="2019-02-24T00:00:00"/>
    <x v="0"/>
    <x v="8"/>
    <n v="0"/>
    <s v="IMD GRID MODEL"/>
  </r>
  <r>
    <s v="Puducherry"/>
    <x v="1"/>
    <d v="2019-03-05T00:00:00"/>
    <x v="0"/>
    <x v="3"/>
    <n v="0"/>
    <s v="IMD GRID MODEL"/>
  </r>
  <r>
    <s v="Puducherry"/>
    <x v="1"/>
    <d v="2019-03-10T00:00:00"/>
    <x v="0"/>
    <x v="3"/>
    <n v="0"/>
    <s v="IMD GRID MODEL"/>
  </r>
  <r>
    <s v="Puducherry"/>
    <x v="1"/>
    <d v="2019-03-19T00:00:00"/>
    <x v="0"/>
    <x v="3"/>
    <n v="0"/>
    <s v="IMD GRID MODEL"/>
  </r>
  <r>
    <s v="Puducherry"/>
    <x v="1"/>
    <d v="2019-04-04T00:00:00"/>
    <x v="0"/>
    <x v="9"/>
    <n v="0"/>
    <s v="IMD GRID MODEL"/>
  </r>
  <r>
    <s v="Puducherry"/>
    <x v="1"/>
    <d v="2019-04-10T00:00:00"/>
    <x v="0"/>
    <x v="9"/>
    <n v="0"/>
    <s v="IMD GRID MODEL"/>
  </r>
  <r>
    <s v="Puducherry"/>
    <x v="1"/>
    <d v="2019-04-15T00:00:00"/>
    <x v="0"/>
    <x v="9"/>
    <n v="0"/>
    <s v="IMD GRID MODEL"/>
  </r>
  <r>
    <s v="Puducherry"/>
    <x v="1"/>
    <d v="2019-04-30T00:00:00"/>
    <x v="0"/>
    <x v="9"/>
    <n v="1.5759440659999999"/>
    <s v="IMD GRID MODEL"/>
  </r>
  <r>
    <s v="Puducherry"/>
    <x v="1"/>
    <d v="2019-05-11T00:00:00"/>
    <x v="0"/>
    <x v="10"/>
    <n v="0"/>
    <s v="IMD GRID MODEL"/>
  </r>
  <r>
    <s v="Puducherry"/>
    <x v="1"/>
    <d v="2019-05-12T00:00:00"/>
    <x v="0"/>
    <x v="10"/>
    <n v="1.692680717"/>
    <s v="IMD GRID MODEL"/>
  </r>
  <r>
    <s v="Puducherry"/>
    <x v="1"/>
    <d v="2019-05-13T00:00:00"/>
    <x v="0"/>
    <x v="10"/>
    <n v="3.6188344959999998"/>
    <s v="IMD GRID MODEL"/>
  </r>
  <r>
    <s v="Puducherry"/>
    <x v="1"/>
    <d v="2019-05-18T00:00:00"/>
    <x v="0"/>
    <x v="10"/>
    <n v="8.4050350189999996"/>
    <s v="IMD GRID MODEL"/>
  </r>
  <r>
    <s v="Puducherry"/>
    <x v="1"/>
    <d v="2019-05-19T00:00:00"/>
    <x v="0"/>
    <x v="10"/>
    <n v="0"/>
    <s v="IMD GRID MODEL"/>
  </r>
  <r>
    <s v="Puducherry"/>
    <x v="1"/>
    <d v="2019-05-20T00:00:00"/>
    <x v="0"/>
    <x v="10"/>
    <n v="4.7862005229999998"/>
    <s v="IMD GRID MODEL"/>
  </r>
  <r>
    <s v="Puducherry"/>
    <x v="1"/>
    <d v="2019-05-22T00:00:00"/>
    <x v="0"/>
    <x v="10"/>
    <n v="0"/>
    <s v="IMD GRID MODEL"/>
  </r>
  <r>
    <s v="Puducherry"/>
    <x v="1"/>
    <d v="2019-05-25T00:00:00"/>
    <x v="0"/>
    <x v="10"/>
    <n v="0"/>
    <s v="IMD GRID MODEL"/>
  </r>
  <r>
    <s v="Puducherry"/>
    <x v="1"/>
    <d v="2019-05-29T00:00:00"/>
    <x v="0"/>
    <x v="10"/>
    <n v="0.700419605"/>
    <s v="IMD GRID MODEL"/>
  </r>
  <r>
    <s v="Puducherry"/>
    <x v="1"/>
    <d v="2019-06-06T00:00:00"/>
    <x v="0"/>
    <x v="4"/>
    <n v="0"/>
    <s v="IMD GRID MODEL"/>
  </r>
  <r>
    <s v="Puducherry"/>
    <x v="1"/>
    <d v="2019-06-14T00:00:00"/>
    <x v="0"/>
    <x v="4"/>
    <n v="0"/>
    <s v="IMD GRID MODEL"/>
  </r>
  <r>
    <s v="Puducherry"/>
    <x v="1"/>
    <d v="2019-06-15T00:00:00"/>
    <x v="0"/>
    <x v="4"/>
    <n v="0"/>
    <s v="IMD GRID MODEL"/>
  </r>
  <r>
    <s v="Puducherry"/>
    <x v="1"/>
    <d v="2019-06-19T00:00:00"/>
    <x v="0"/>
    <x v="4"/>
    <n v="0"/>
    <s v="IMD GRID MODEL"/>
  </r>
  <r>
    <s v="Puducherry"/>
    <x v="1"/>
    <d v="2019-06-29T00:00:00"/>
    <x v="0"/>
    <x v="4"/>
    <n v="0"/>
    <s v="IMD GRID MODEL"/>
  </r>
  <r>
    <s v="Puducherry"/>
    <x v="1"/>
    <d v="2019-06-30T00:00:00"/>
    <x v="0"/>
    <x v="4"/>
    <n v="0"/>
    <s v="IMD GRID MODEL"/>
  </r>
  <r>
    <s v="Puducherry"/>
    <x v="1"/>
    <d v="2019-07-03T00:00:00"/>
    <x v="0"/>
    <x v="11"/>
    <n v="7.2132329940000002"/>
    <s v="IMD GRID MODEL"/>
  </r>
  <r>
    <s v="Puducherry"/>
    <x v="1"/>
    <d v="2019-07-07T00:00:00"/>
    <x v="0"/>
    <x v="11"/>
    <n v="1.470197916"/>
    <s v="IMD GRID MODEL"/>
  </r>
  <r>
    <s v="Puducherry"/>
    <x v="1"/>
    <d v="2019-07-11T00:00:00"/>
    <x v="0"/>
    <x v="11"/>
    <n v="13.96380806"/>
    <s v="IMD GRID MODEL"/>
  </r>
  <r>
    <s v="Puducherry"/>
    <x v="1"/>
    <d v="2019-07-12T00:00:00"/>
    <x v="0"/>
    <x v="11"/>
    <n v="14.74236679"/>
    <s v="IMD GRID MODEL"/>
  </r>
  <r>
    <s v="Puducherry"/>
    <x v="1"/>
    <d v="2019-07-15T00:00:00"/>
    <x v="0"/>
    <x v="11"/>
    <n v="0.933892787"/>
    <s v="IMD GRID MODEL"/>
  </r>
  <r>
    <s v="Puducherry"/>
    <x v="1"/>
    <d v="2019-07-16T00:00:00"/>
    <x v="0"/>
    <x v="11"/>
    <n v="2.9037592409999999"/>
    <s v="IMD GRID MODEL"/>
  </r>
  <r>
    <s v="Puducherry"/>
    <x v="1"/>
    <d v="2019-07-26T00:00:00"/>
    <x v="0"/>
    <x v="11"/>
    <n v="33.61050797"/>
    <s v="IMD GRID MODEL"/>
  </r>
  <r>
    <s v="Puducherry"/>
    <x v="1"/>
    <d v="2019-08-04T00:00:00"/>
    <x v="0"/>
    <x v="5"/>
    <n v="1.5175757409999999"/>
    <s v="IMD GRID MODEL"/>
  </r>
  <r>
    <s v="Puducherry"/>
    <x v="1"/>
    <d v="2019-08-16T00:00:00"/>
    <x v="0"/>
    <x v="5"/>
    <n v="13.435524940000001"/>
    <s v="IMD GRID MODEL"/>
  </r>
  <r>
    <s v="Puducherry"/>
    <x v="1"/>
    <d v="2019-08-23T00:00:00"/>
    <x v="0"/>
    <x v="5"/>
    <n v="0.74040770499999997"/>
    <s v="IMD GRID MODEL"/>
  </r>
  <r>
    <s v="Puducherry"/>
    <x v="1"/>
    <d v="2019-08-31T00:00:00"/>
    <x v="0"/>
    <x v="5"/>
    <n v="0"/>
    <s v="IMD GRID MODEL"/>
  </r>
  <r>
    <s v="Puducherry"/>
    <x v="1"/>
    <d v="2019-09-04T00:00:00"/>
    <x v="0"/>
    <x v="6"/>
    <n v="6.3600015640000001"/>
    <s v="IMD GRID MODEL"/>
  </r>
  <r>
    <s v="Puducherry"/>
    <x v="1"/>
    <d v="2019-09-08T00:00:00"/>
    <x v="0"/>
    <x v="6"/>
    <n v="11.442418099999999"/>
    <s v="IMD GRID MODEL"/>
  </r>
  <r>
    <s v="Puducherry"/>
    <x v="1"/>
    <d v="2019-09-09T00:00:00"/>
    <x v="0"/>
    <x v="6"/>
    <n v="4.9819493289999999"/>
    <s v="IMD GRID MODEL"/>
  </r>
  <r>
    <s v="Puducherry"/>
    <x v="1"/>
    <d v="2019-09-13T00:00:00"/>
    <x v="0"/>
    <x v="6"/>
    <n v="7.7908806799999999"/>
    <s v="IMD GRID MODEL"/>
  </r>
  <r>
    <s v="Puducherry"/>
    <x v="1"/>
    <d v="2019-09-18T00:00:00"/>
    <x v="0"/>
    <x v="6"/>
    <n v="3.2159824370000001"/>
    <s v="IMD GRID MODEL"/>
  </r>
  <r>
    <s v="Puducherry"/>
    <x v="1"/>
    <d v="2019-09-25T00:00:00"/>
    <x v="0"/>
    <x v="6"/>
    <n v="15.124756809999999"/>
    <s v="IMD GRID MODEL"/>
  </r>
  <r>
    <s v="Puducherry"/>
    <x v="1"/>
    <d v="2019-09-27T00:00:00"/>
    <x v="0"/>
    <x v="6"/>
    <n v="16.791709900000001"/>
    <s v="IMD GRID MODEL"/>
  </r>
  <r>
    <s v="Puducherry"/>
    <x v="1"/>
    <d v="2019-09-28T00:00:00"/>
    <x v="0"/>
    <x v="6"/>
    <n v="8.8540773389999998"/>
    <s v="IMD GRID MODEL"/>
  </r>
  <r>
    <s v="Puducherry"/>
    <x v="1"/>
    <d v="2019-10-02T00:00:00"/>
    <x v="0"/>
    <x v="0"/>
    <n v="0"/>
    <s v="IMD GRID MODEL"/>
  </r>
  <r>
    <s v="Puducherry"/>
    <x v="1"/>
    <d v="2019-10-08T00:00:00"/>
    <x v="0"/>
    <x v="0"/>
    <n v="0.69358694600000004"/>
    <s v="IMD GRID MODEL"/>
  </r>
  <r>
    <s v="Puducherry"/>
    <x v="1"/>
    <d v="2019-10-12T00:00:00"/>
    <x v="0"/>
    <x v="0"/>
    <n v="2.1562106609999998"/>
    <s v="IMD GRID MODEL"/>
  </r>
  <r>
    <s v="Puducherry"/>
    <x v="1"/>
    <d v="2019-10-21T00:00:00"/>
    <x v="0"/>
    <x v="0"/>
    <n v="0"/>
    <s v="IMD GRID MODEL"/>
  </r>
  <r>
    <s v="Puducherry"/>
    <x v="1"/>
    <d v="2019-10-22T00:00:00"/>
    <x v="0"/>
    <x v="0"/>
    <n v="21.718490599999999"/>
    <s v="IMD GRID MODEL"/>
  </r>
  <r>
    <s v="Puducherry"/>
    <x v="1"/>
    <d v="2019-10-23T00:00:00"/>
    <x v="0"/>
    <x v="0"/>
    <n v="43.509067539999997"/>
    <s v="IMD GRID MODEL"/>
  </r>
  <r>
    <s v="Puducherry"/>
    <x v="1"/>
    <d v="2019-10-27T00:00:00"/>
    <x v="0"/>
    <x v="0"/>
    <n v="1.3424707650000001"/>
    <s v="IMD GRID MODEL"/>
  </r>
  <r>
    <s v="Puducherry"/>
    <x v="2"/>
    <d v="2019-04-06T00:00:00"/>
    <x v="0"/>
    <x v="9"/>
    <n v="0"/>
    <s v="IMD GRID MODEL"/>
  </r>
  <r>
    <s v="Puducherry"/>
    <x v="2"/>
    <d v="2019-04-13T00:00:00"/>
    <x v="0"/>
    <x v="9"/>
    <n v="0"/>
    <s v="IMD GRID MODEL"/>
  </r>
  <r>
    <s v="Puducherry"/>
    <x v="2"/>
    <d v="2019-04-14T00:00:00"/>
    <x v="0"/>
    <x v="9"/>
    <n v="0"/>
    <s v="IMD GRID MODEL"/>
  </r>
  <r>
    <s v="Puducherry"/>
    <x v="2"/>
    <d v="2019-04-24T00:00:00"/>
    <x v="0"/>
    <x v="9"/>
    <n v="5.1389564999999998E-2"/>
    <s v="IMD GRID MODEL"/>
  </r>
  <r>
    <s v="Puducherry"/>
    <x v="2"/>
    <d v="2019-04-25T00:00:00"/>
    <x v="0"/>
    <x v="9"/>
    <n v="0"/>
    <s v="IMD GRID MODEL"/>
  </r>
  <r>
    <s v="Puducherry"/>
    <x v="2"/>
    <d v="2019-04-29T00:00:00"/>
    <x v="0"/>
    <x v="9"/>
    <n v="0"/>
    <s v="IMD GRID MODEL"/>
  </r>
  <r>
    <s v="Puducherry"/>
    <x v="2"/>
    <d v="2019-05-06T00:00:00"/>
    <x v="0"/>
    <x v="10"/>
    <n v="0"/>
    <s v="IMD GRID MODEL"/>
  </r>
  <r>
    <s v="Puducherry"/>
    <x v="2"/>
    <d v="2019-05-07T00:00:00"/>
    <x v="0"/>
    <x v="10"/>
    <n v="0"/>
    <s v="IMD GRID MODEL"/>
  </r>
  <r>
    <s v="Puducherry"/>
    <x v="2"/>
    <d v="2019-05-12T00:00:00"/>
    <x v="0"/>
    <x v="10"/>
    <n v="0"/>
    <s v="IMD GRID MODEL"/>
  </r>
  <r>
    <s v="Puducherry"/>
    <x v="2"/>
    <d v="2019-05-21T00:00:00"/>
    <x v="0"/>
    <x v="10"/>
    <n v="0"/>
    <s v="IMD GRID MODEL"/>
  </r>
  <r>
    <s v="Puducherry"/>
    <x v="2"/>
    <d v="2019-05-23T00:00:00"/>
    <x v="0"/>
    <x v="10"/>
    <n v="0"/>
    <s v="IMD GRID MODEL"/>
  </r>
  <r>
    <s v="Puducherry"/>
    <x v="2"/>
    <d v="2019-05-27T00:00:00"/>
    <x v="0"/>
    <x v="10"/>
    <n v="0"/>
    <s v="IMD GRID MODEL"/>
  </r>
  <r>
    <s v="Puducherry"/>
    <x v="2"/>
    <d v="2019-05-28T00:00:00"/>
    <x v="0"/>
    <x v="10"/>
    <n v="0"/>
    <s v="IMD GRID MODEL"/>
  </r>
  <r>
    <s v="Puducherry"/>
    <x v="2"/>
    <d v="2019-06-08T00:00:00"/>
    <x v="0"/>
    <x v="4"/>
    <n v="0"/>
    <s v="IMD GRID MODEL"/>
  </r>
  <r>
    <s v="Puducherry"/>
    <x v="2"/>
    <d v="2019-06-15T00:00:00"/>
    <x v="0"/>
    <x v="4"/>
    <n v="0"/>
    <s v="IMD GRID MODEL"/>
  </r>
  <r>
    <s v="Puducherry"/>
    <x v="2"/>
    <d v="2019-06-25T00:00:00"/>
    <x v="0"/>
    <x v="4"/>
    <n v="0"/>
    <s v="IMD GRID MODEL"/>
  </r>
  <r>
    <s v="Puducherry"/>
    <x v="2"/>
    <d v="2019-06-27T00:00:00"/>
    <x v="0"/>
    <x v="4"/>
    <n v="11.884324380000001"/>
    <s v="IMD GRID MODEL"/>
  </r>
  <r>
    <s v="Puducherry"/>
    <x v="2"/>
    <d v="2019-07-14T00:00:00"/>
    <x v="0"/>
    <x v="11"/>
    <n v="0"/>
    <s v="IMD GRID MODEL"/>
  </r>
  <r>
    <s v="Puducherry"/>
    <x v="2"/>
    <d v="2019-07-15T00:00:00"/>
    <x v="0"/>
    <x v="11"/>
    <n v="19.757189499999999"/>
    <s v="IMD GRID MODEL"/>
  </r>
  <r>
    <s v="Puducherry"/>
    <x v="2"/>
    <d v="2019-07-16T00:00:00"/>
    <x v="0"/>
    <x v="11"/>
    <n v="0"/>
    <s v="IMD GRID MODEL"/>
  </r>
  <r>
    <s v="Puducherry"/>
    <x v="2"/>
    <d v="2019-07-21T00:00:00"/>
    <x v="0"/>
    <x v="11"/>
    <n v="0"/>
    <s v="IMD GRID MODEL"/>
  </r>
  <r>
    <s v="Puducherry"/>
    <x v="2"/>
    <d v="2019-07-26T00:00:00"/>
    <x v="0"/>
    <x v="11"/>
    <n v="0.60875058199999998"/>
    <s v="IMD GRID MODEL"/>
  </r>
  <r>
    <s v="Puducherry"/>
    <x v="2"/>
    <d v="2019-07-27T00:00:00"/>
    <x v="0"/>
    <x v="11"/>
    <n v="0"/>
    <s v="IMD GRID MODEL"/>
  </r>
  <r>
    <s v="Puducherry"/>
    <x v="2"/>
    <d v="2019-08-05T00:00:00"/>
    <x v="0"/>
    <x v="5"/>
    <n v="0"/>
    <s v="IMD GRID MODEL"/>
  </r>
  <r>
    <s v="Puducherry"/>
    <x v="2"/>
    <d v="2019-08-07T00:00:00"/>
    <x v="0"/>
    <x v="5"/>
    <n v="2.2796313289999999"/>
    <s v="IMD GRID MODEL"/>
  </r>
  <r>
    <s v="Puducherry"/>
    <x v="2"/>
    <d v="2019-08-20T00:00:00"/>
    <x v="0"/>
    <x v="5"/>
    <n v="1.4132511910000001"/>
    <s v="IMD GRID MODEL"/>
  </r>
  <r>
    <s v="Puducherry"/>
    <x v="2"/>
    <d v="2019-08-26T00:00:00"/>
    <x v="0"/>
    <x v="5"/>
    <n v="4.4884442389999997"/>
    <s v="IMD GRID MODEL"/>
  </r>
  <r>
    <s v="Puducherry"/>
    <x v="2"/>
    <d v="2019-08-28T00:00:00"/>
    <x v="0"/>
    <x v="5"/>
    <n v="0"/>
    <s v="IMD GRID MODEL"/>
  </r>
  <r>
    <s v="Puducherry"/>
    <x v="2"/>
    <d v="2019-09-04T00:00:00"/>
    <x v="0"/>
    <x v="6"/>
    <n v="8.8525319000000005E-2"/>
    <s v="IMD GRID MODEL"/>
  </r>
  <r>
    <s v="Puducherry"/>
    <x v="2"/>
    <d v="2019-09-09T00:00:00"/>
    <x v="0"/>
    <x v="6"/>
    <n v="0"/>
    <s v="IMD GRID MODEL"/>
  </r>
  <r>
    <s v="Puducherry"/>
    <x v="2"/>
    <d v="2019-09-15T00:00:00"/>
    <x v="0"/>
    <x v="6"/>
    <n v="0"/>
    <s v="IMD GRID MODEL"/>
  </r>
  <r>
    <s v="Puducherry"/>
    <x v="2"/>
    <d v="2019-09-22T00:00:00"/>
    <x v="0"/>
    <x v="6"/>
    <n v="0"/>
    <s v="IMD GRID MODEL"/>
  </r>
  <r>
    <s v="Puducherry"/>
    <x v="2"/>
    <d v="2019-09-23T00:00:00"/>
    <x v="0"/>
    <x v="6"/>
    <n v="4.3415679059999999"/>
    <s v="IMD GRID MODEL"/>
  </r>
  <r>
    <s v="Puducherry"/>
    <x v="2"/>
    <d v="2019-09-25T00:00:00"/>
    <x v="0"/>
    <x v="6"/>
    <n v="4.3609947870000001"/>
    <s v="IMD GRID MODEL"/>
  </r>
  <r>
    <s v="Puducherry"/>
    <x v="2"/>
    <d v="2019-09-27T00:00:00"/>
    <x v="0"/>
    <x v="6"/>
    <n v="0"/>
    <s v="IMD GRID MODEL"/>
  </r>
  <r>
    <s v="Puducherry"/>
    <x v="2"/>
    <d v="2019-10-03T00:00:00"/>
    <x v="0"/>
    <x v="0"/>
    <n v="0"/>
    <s v="IMD GRID MODEL"/>
  </r>
  <r>
    <s v="Puducherry"/>
    <x v="2"/>
    <d v="2019-10-12T00:00:00"/>
    <x v="0"/>
    <x v="0"/>
    <n v="6.2290386000000003E-2"/>
    <s v="IMD GRID MODEL"/>
  </r>
  <r>
    <s v="Puducherry"/>
    <x v="2"/>
    <d v="2019-10-20T00:00:00"/>
    <x v="0"/>
    <x v="0"/>
    <n v="16.111966219999999"/>
    <s v="IMD GRID MODEL"/>
  </r>
  <r>
    <s v="Puducherry"/>
    <x v="2"/>
    <d v="2019-10-21T00:00:00"/>
    <x v="0"/>
    <x v="0"/>
    <n v="21.80448453"/>
    <s v="IMD GRID MODEL"/>
  </r>
  <r>
    <s v="Puducherry"/>
    <x v="2"/>
    <d v="2019-10-30T00:00:00"/>
    <x v="0"/>
    <x v="0"/>
    <n v="38.517860919999997"/>
    <s v="IMD GRID MODEL"/>
  </r>
  <r>
    <s v="Puducherry"/>
    <x v="2"/>
    <d v="2019-11-13T00:00:00"/>
    <x v="0"/>
    <x v="1"/>
    <n v="1.7139082919999999"/>
    <s v="IMD GRID MODEL"/>
  </r>
  <r>
    <s v="Puducherry"/>
    <x v="2"/>
    <d v="2019-11-14T00:00:00"/>
    <x v="0"/>
    <x v="1"/>
    <n v="1.6764121780000001"/>
    <s v="IMD GRID MODEL"/>
  </r>
  <r>
    <s v="Puducherry"/>
    <x v="2"/>
    <d v="2019-11-15T00:00:00"/>
    <x v="0"/>
    <x v="1"/>
    <n v="5.2347851079999996"/>
    <s v="IMD GRID MODEL"/>
  </r>
  <r>
    <s v="Puducherry"/>
    <x v="2"/>
    <d v="2019-11-16T00:00:00"/>
    <x v="0"/>
    <x v="1"/>
    <n v="4.7801779370000004"/>
    <s v="IMD GRID MODEL"/>
  </r>
  <r>
    <s v="Puducherry"/>
    <x v="2"/>
    <d v="2019-11-18T00:00:00"/>
    <x v="0"/>
    <x v="1"/>
    <n v="13.01558676"/>
    <s v="IMD GRID MODEL"/>
  </r>
  <r>
    <s v="Puducherry"/>
    <x v="2"/>
    <d v="2019-11-27T00:00:00"/>
    <x v="0"/>
    <x v="1"/>
    <n v="8.2786593780000004"/>
    <s v="IMD GRID MODEL"/>
  </r>
  <r>
    <s v="Puducherry"/>
    <x v="2"/>
    <d v="2019-11-28T00:00:00"/>
    <x v="0"/>
    <x v="1"/>
    <n v="41.754183300000001"/>
    <s v="IMD GRID MODEL"/>
  </r>
  <r>
    <s v="Puducherry"/>
    <x v="2"/>
    <d v="2019-11-29T00:00:00"/>
    <x v="0"/>
    <x v="1"/>
    <n v="43.741378650000001"/>
    <s v="IMD GRID MODEL"/>
  </r>
  <r>
    <s v="Puducherry"/>
    <x v="2"/>
    <d v="2019-12-06T00:00:00"/>
    <x v="0"/>
    <x v="2"/>
    <n v="0"/>
    <s v="IMD GRID MODEL"/>
  </r>
  <r>
    <s v="Puducherry"/>
    <x v="2"/>
    <d v="2019-12-10T00:00:00"/>
    <x v="0"/>
    <x v="2"/>
    <n v="0"/>
    <s v="IMD GRID MODEL"/>
  </r>
  <r>
    <s v="Puducherry"/>
    <x v="2"/>
    <d v="2019-12-12T00:00:00"/>
    <x v="0"/>
    <x v="2"/>
    <n v="0"/>
    <s v="IMD GRID MODEL"/>
  </r>
  <r>
    <s v="Puducherry"/>
    <x v="2"/>
    <d v="2019-12-25T00:00:00"/>
    <x v="0"/>
    <x v="2"/>
    <n v="102.7562312"/>
    <s v="IMD GRID MODEL"/>
  </r>
  <r>
    <s v="Puducherry"/>
    <x v="2"/>
    <d v="2019-12-29T00:00:00"/>
    <x v="0"/>
    <x v="2"/>
    <n v="0"/>
    <s v="IMD GRID MODEL"/>
  </r>
  <r>
    <s v="Puducherry"/>
    <x v="3"/>
    <d v="2019-01-05T00:00:00"/>
    <x v="0"/>
    <x v="7"/>
    <n v="0"/>
    <s v="IMD GRID MODEL"/>
  </r>
  <r>
    <s v="Puducherry"/>
    <x v="3"/>
    <d v="2019-01-07T00:00:00"/>
    <x v="0"/>
    <x v="7"/>
    <n v="0"/>
    <s v="IMD GRID MODEL"/>
  </r>
  <r>
    <s v="Puducherry"/>
    <x v="3"/>
    <d v="2019-01-10T00:00:00"/>
    <x v="0"/>
    <x v="7"/>
    <n v="0"/>
    <s v="IMD GRID MODEL"/>
  </r>
  <r>
    <s v="Puducherry"/>
    <x v="3"/>
    <d v="2019-01-13T00:00:00"/>
    <x v="0"/>
    <x v="7"/>
    <n v="0"/>
    <s v="IMD GRID MODEL"/>
  </r>
  <r>
    <s v="Puducherry"/>
    <x v="3"/>
    <d v="2019-01-19T00:00:00"/>
    <x v="0"/>
    <x v="7"/>
    <n v="0"/>
    <s v="IMD GRID MODEL"/>
  </r>
  <r>
    <s v="Puducherry"/>
    <x v="3"/>
    <d v="2019-01-21T00:00:00"/>
    <x v="0"/>
    <x v="7"/>
    <n v="0"/>
    <s v="IMD GRID MODEL"/>
  </r>
  <r>
    <s v="Puducherry"/>
    <x v="3"/>
    <d v="2019-01-22T00:00:00"/>
    <x v="0"/>
    <x v="7"/>
    <n v="0"/>
    <s v="IMD GRID MODEL"/>
  </r>
  <r>
    <s v="Puducherry"/>
    <x v="3"/>
    <d v="2019-01-25T00:00:00"/>
    <x v="0"/>
    <x v="7"/>
    <n v="0"/>
    <s v="IMD GRID MODEL"/>
  </r>
  <r>
    <s v="Puducherry"/>
    <x v="3"/>
    <d v="2019-01-29T00:00:00"/>
    <x v="0"/>
    <x v="7"/>
    <n v="0"/>
    <s v="IMD GRID MODEL"/>
  </r>
  <r>
    <s v="Puducherry"/>
    <x v="3"/>
    <d v="2019-02-05T00:00:00"/>
    <x v="0"/>
    <x v="8"/>
    <n v="0"/>
    <s v="IMD GRID MODEL"/>
  </r>
  <r>
    <s v="Puducherry"/>
    <x v="3"/>
    <d v="2019-02-06T00:00:00"/>
    <x v="0"/>
    <x v="8"/>
    <n v="0"/>
    <s v="IMD GRID MODEL"/>
  </r>
  <r>
    <s v="Puducherry"/>
    <x v="3"/>
    <d v="2019-02-07T00:00:00"/>
    <x v="0"/>
    <x v="8"/>
    <n v="0"/>
    <s v="IMD GRID MODEL"/>
  </r>
  <r>
    <s v="Puducherry"/>
    <x v="3"/>
    <d v="2019-02-19T00:00:00"/>
    <x v="0"/>
    <x v="8"/>
    <n v="0"/>
    <s v="IMD GRID MODEL"/>
  </r>
  <r>
    <s v="Puducherry"/>
    <x v="3"/>
    <d v="2019-03-02T00:00:00"/>
    <x v="0"/>
    <x v="3"/>
    <n v="0"/>
    <s v="IMD GRID MODEL"/>
  </r>
  <r>
    <s v="Puducherry"/>
    <x v="3"/>
    <d v="2019-03-10T00:00:00"/>
    <x v="0"/>
    <x v="3"/>
    <n v="0"/>
    <s v="IMD GRID MODEL"/>
  </r>
  <r>
    <s v="Puducherry"/>
    <x v="3"/>
    <d v="2019-03-13T00:00:00"/>
    <x v="0"/>
    <x v="3"/>
    <n v="0"/>
    <s v="IMD GRID MODEL"/>
  </r>
  <r>
    <s v="Puducherry"/>
    <x v="3"/>
    <d v="2019-03-17T00:00:00"/>
    <x v="0"/>
    <x v="3"/>
    <n v="0"/>
    <s v="IMD GRID MODEL"/>
  </r>
  <r>
    <s v="Puducherry"/>
    <x v="3"/>
    <d v="2019-03-20T00:00:00"/>
    <x v="0"/>
    <x v="3"/>
    <n v="0"/>
    <s v="IMD GRID MODEL"/>
  </r>
  <r>
    <s v="Puducherry"/>
    <x v="3"/>
    <d v="2019-03-22T00:00:00"/>
    <x v="0"/>
    <x v="3"/>
    <n v="0"/>
    <s v="IMD GRID MODEL"/>
  </r>
  <r>
    <s v="Puducherry"/>
    <x v="3"/>
    <d v="2019-03-26T00:00:00"/>
    <x v="0"/>
    <x v="3"/>
    <n v="0"/>
    <s v="IMD GRID MODEL"/>
  </r>
  <r>
    <s v="Puducherry"/>
    <x v="3"/>
    <d v="2019-04-06T00:00:00"/>
    <x v="0"/>
    <x v="9"/>
    <n v="0"/>
    <s v="IMD GRID MODEL"/>
  </r>
  <r>
    <s v="Puducherry"/>
    <x v="3"/>
    <d v="2019-04-12T00:00:00"/>
    <x v="0"/>
    <x v="9"/>
    <n v="6.0918302539999996"/>
    <s v="IMD GRID MODEL"/>
  </r>
  <r>
    <s v="Puducherry"/>
    <x v="3"/>
    <d v="2019-04-13T00:00:00"/>
    <x v="0"/>
    <x v="9"/>
    <n v="0"/>
    <s v="IMD GRID MODEL"/>
  </r>
  <r>
    <s v="Puducherry"/>
    <x v="3"/>
    <d v="2019-04-16T00:00:00"/>
    <x v="0"/>
    <x v="9"/>
    <n v="0"/>
    <s v="IMD GRID MODEL"/>
  </r>
  <r>
    <s v="Puducherry"/>
    <x v="3"/>
    <d v="2019-04-19T00:00:00"/>
    <x v="0"/>
    <x v="9"/>
    <n v="0.96280592700000001"/>
    <s v="IMD GRID MODEL"/>
  </r>
  <r>
    <s v="Puducherry"/>
    <x v="3"/>
    <d v="2019-05-01T00:00:00"/>
    <x v="0"/>
    <x v="10"/>
    <n v="3.8554334639999999"/>
    <s v="IMD GRID MODEL"/>
  </r>
  <r>
    <s v="Puducherry"/>
    <x v="3"/>
    <d v="2019-05-15T00:00:00"/>
    <x v="0"/>
    <x v="10"/>
    <n v="0"/>
    <s v="IMD GRID MODEL"/>
  </r>
  <r>
    <s v="Puducherry"/>
    <x v="3"/>
    <d v="2019-05-16T00:00:00"/>
    <x v="0"/>
    <x v="10"/>
    <n v="0"/>
    <s v="IMD GRID MODEL"/>
  </r>
  <r>
    <s v="Puducherry"/>
    <x v="3"/>
    <d v="2019-05-24T00:00:00"/>
    <x v="0"/>
    <x v="10"/>
    <n v="3.514517546"/>
    <s v="IMD GRID MODEL"/>
  </r>
  <r>
    <s v="Puducherry"/>
    <x v="3"/>
    <d v="2019-05-26T00:00:00"/>
    <x v="0"/>
    <x v="10"/>
    <n v="0"/>
    <s v="IMD GRID MODEL"/>
  </r>
  <r>
    <s v="Puducherry"/>
    <x v="3"/>
    <d v="2019-05-28T00:00:00"/>
    <x v="0"/>
    <x v="10"/>
    <n v="0"/>
    <s v="IMD GRID MODEL"/>
  </r>
  <r>
    <s v="Puducherry"/>
    <x v="3"/>
    <d v="2019-06-08T00:00:00"/>
    <x v="0"/>
    <x v="4"/>
    <n v="10.444726940000001"/>
    <s v="IMD GRID MODEL"/>
  </r>
  <r>
    <s v="Puducherry"/>
    <x v="3"/>
    <d v="2019-06-11T00:00:00"/>
    <x v="0"/>
    <x v="4"/>
    <n v="47.767658230000002"/>
    <s v="IMD GRID MODEL"/>
  </r>
  <r>
    <s v="Puducherry"/>
    <x v="3"/>
    <d v="2019-06-14T00:00:00"/>
    <x v="0"/>
    <x v="4"/>
    <n v="16.933237080000001"/>
    <s v="IMD GRID MODEL"/>
  </r>
  <r>
    <s v="Puducherry"/>
    <x v="3"/>
    <d v="2019-06-17T00:00:00"/>
    <x v="0"/>
    <x v="4"/>
    <n v="3.6947383880000002"/>
    <s v="IMD GRID MODEL"/>
  </r>
  <r>
    <s v="Puducherry"/>
    <x v="3"/>
    <d v="2019-06-19T00:00:00"/>
    <x v="0"/>
    <x v="4"/>
    <n v="67.600997919999998"/>
    <s v="IMD GRID MODEL"/>
  </r>
  <r>
    <s v="Puducherry"/>
    <x v="3"/>
    <d v="2019-06-23T00:00:00"/>
    <x v="0"/>
    <x v="4"/>
    <n v="13.85111809"/>
    <s v="IMD GRID MODEL"/>
  </r>
  <r>
    <s v="Puducherry"/>
    <x v="3"/>
    <d v="2019-06-24T00:00:00"/>
    <x v="0"/>
    <x v="4"/>
    <n v="30.345214840000001"/>
    <s v="IMD GRID MODEL"/>
  </r>
  <r>
    <s v="Puducherry"/>
    <x v="3"/>
    <d v="2019-06-25T00:00:00"/>
    <x v="0"/>
    <x v="4"/>
    <n v="12.18718052"/>
    <s v="IMD GRID MODEL"/>
  </r>
  <r>
    <s v="Puducherry"/>
    <x v="3"/>
    <d v="2019-06-26T00:00:00"/>
    <x v="0"/>
    <x v="4"/>
    <n v="34.952636720000001"/>
    <s v="IMD GRID MODEL"/>
  </r>
  <r>
    <s v="Puducherry"/>
    <x v="3"/>
    <d v="2019-07-03T00:00:00"/>
    <x v="0"/>
    <x v="11"/>
    <n v="6.2471084589999997"/>
    <s v="IMD GRID MODEL"/>
  </r>
  <r>
    <s v="Puducherry"/>
    <x v="3"/>
    <d v="2019-07-05T00:00:00"/>
    <x v="0"/>
    <x v="11"/>
    <n v="29.990255359999999"/>
    <s v="IMD GRID MODEL"/>
  </r>
  <r>
    <s v="Puducherry"/>
    <x v="3"/>
    <d v="2019-07-07T00:00:00"/>
    <x v="0"/>
    <x v="11"/>
    <n v="19.887001040000001"/>
    <s v="IMD GRID MODEL"/>
  </r>
  <r>
    <s v="Puducherry"/>
    <x v="3"/>
    <d v="2019-07-10T00:00:00"/>
    <x v="0"/>
    <x v="11"/>
    <n v="51.642444609999998"/>
    <s v="IMD GRID MODEL"/>
  </r>
  <r>
    <s v="Puducherry"/>
    <x v="3"/>
    <d v="2019-07-13T00:00:00"/>
    <x v="0"/>
    <x v="11"/>
    <n v="1.574552894"/>
    <s v="IMD GRID MODEL"/>
  </r>
  <r>
    <s v="Puducherry"/>
    <x v="3"/>
    <d v="2019-07-15T00:00:00"/>
    <x v="0"/>
    <x v="11"/>
    <n v="22.203765870000002"/>
    <s v="IMD GRID MODEL"/>
  </r>
  <r>
    <s v="Puducherry"/>
    <x v="3"/>
    <d v="2019-07-17T00:00:00"/>
    <x v="0"/>
    <x v="11"/>
    <n v="23.346561430000001"/>
    <s v="IMD GRID MODEL"/>
  </r>
  <r>
    <s v="Puducherry"/>
    <x v="3"/>
    <d v="2019-07-18T00:00:00"/>
    <x v="0"/>
    <x v="11"/>
    <n v="0.54784315800000005"/>
    <s v="IMD GRID MODEL"/>
  </r>
  <r>
    <s v="Puducherry"/>
    <x v="3"/>
    <d v="2019-07-21T00:00:00"/>
    <x v="0"/>
    <x v="11"/>
    <n v="115.71257780000001"/>
    <s v="IMD GRID MODEL"/>
  </r>
  <r>
    <s v="Puducherry"/>
    <x v="3"/>
    <d v="2019-07-26T00:00:00"/>
    <x v="0"/>
    <x v="11"/>
    <n v="32.966636659999999"/>
    <s v="IMD GRID MODEL"/>
  </r>
  <r>
    <s v="Puducherry"/>
    <x v="3"/>
    <d v="2019-07-28T00:00:00"/>
    <x v="0"/>
    <x v="11"/>
    <n v="0.93720465900000005"/>
    <s v="IMD GRID MODEL"/>
  </r>
  <r>
    <s v="Puducherry"/>
    <x v="3"/>
    <d v="2019-08-10T00:00:00"/>
    <x v="0"/>
    <x v="5"/>
    <n v="215.62184139999999"/>
    <s v="IMD GRID MODEL"/>
  </r>
  <r>
    <s v="Puducherry"/>
    <x v="3"/>
    <d v="2019-08-18T00:00:00"/>
    <x v="0"/>
    <x v="5"/>
    <n v="0.70290350899999998"/>
    <s v="IMD GRID MODEL"/>
  </r>
  <r>
    <s v="Puducherry"/>
    <x v="3"/>
    <d v="2019-08-20T00:00:00"/>
    <x v="0"/>
    <x v="5"/>
    <n v="1.2610108849999999"/>
    <s v="IMD GRID MODEL"/>
  </r>
  <r>
    <s v="Puducherry"/>
    <x v="3"/>
    <d v="2019-08-27T00:00:00"/>
    <x v="0"/>
    <x v="5"/>
    <n v="56.199306489999998"/>
    <s v="IMD GRID MODEL"/>
  </r>
  <r>
    <s v="Puducherry"/>
    <x v="3"/>
    <d v="2019-09-04T00:00:00"/>
    <x v="0"/>
    <x v="6"/>
    <n v="52.917446140000003"/>
    <s v="IMD GRID MODEL"/>
  </r>
  <r>
    <s v="Puducherry"/>
    <x v="3"/>
    <d v="2019-09-11T00:00:00"/>
    <x v="0"/>
    <x v="6"/>
    <n v="19.777404789999999"/>
    <s v="IMD GRID MODEL"/>
  </r>
  <r>
    <s v="Puducherry"/>
    <x v="3"/>
    <d v="2019-09-12T00:00:00"/>
    <x v="0"/>
    <x v="6"/>
    <n v="47.761348720000001"/>
    <s v="IMD GRID MODEL"/>
  </r>
  <r>
    <s v="Puducherry"/>
    <x v="3"/>
    <d v="2019-09-16T00:00:00"/>
    <x v="0"/>
    <x v="6"/>
    <n v="4.0052962299999999"/>
    <s v="IMD GRID MODEL"/>
  </r>
  <r>
    <s v="Puducherry"/>
    <x v="3"/>
    <d v="2019-09-18T00:00:00"/>
    <x v="0"/>
    <x v="6"/>
    <n v="0.23430116500000001"/>
    <s v="IMD GRID MODEL"/>
  </r>
  <r>
    <s v="Puducherry"/>
    <x v="3"/>
    <d v="2019-09-19T00:00:00"/>
    <x v="0"/>
    <x v="6"/>
    <n v="16.021839140000001"/>
    <s v="IMD GRID MODEL"/>
  </r>
  <r>
    <s v="Puducherry"/>
    <x v="3"/>
    <d v="2019-09-23T00:00:00"/>
    <x v="0"/>
    <x v="6"/>
    <n v="0"/>
    <s v="IMD GRID MODEL"/>
  </r>
  <r>
    <s v="Puducherry"/>
    <x v="3"/>
    <d v="2019-09-25T00:00:00"/>
    <x v="0"/>
    <x v="6"/>
    <n v="57.993038179999999"/>
    <s v="IMD GRID MODEL"/>
  </r>
  <r>
    <s v="Puducherry"/>
    <x v="3"/>
    <d v="2019-10-06T00:00:00"/>
    <x v="0"/>
    <x v="0"/>
    <n v="8.9391689299999992"/>
    <s v="IMD GRID MODEL"/>
  </r>
  <r>
    <s v="Puducherry"/>
    <x v="3"/>
    <d v="2019-10-15T00:00:00"/>
    <x v="0"/>
    <x v="0"/>
    <n v="0"/>
    <s v="IMD GRID MODEL"/>
  </r>
  <r>
    <s v="Puducherry"/>
    <x v="3"/>
    <d v="2019-10-23T00:00:00"/>
    <x v="0"/>
    <x v="0"/>
    <n v="8.4118776319999995"/>
    <s v="IMD GRID MODEL"/>
  </r>
  <r>
    <s v="Puducherry"/>
    <x v="3"/>
    <d v="2019-10-25T00:00:00"/>
    <x v="0"/>
    <x v="0"/>
    <n v="37.833240510000003"/>
    <s v="IMD GRID MODEL"/>
  </r>
  <r>
    <s v="Puducherry"/>
    <x v="3"/>
    <d v="2019-11-08T00:00:00"/>
    <x v="0"/>
    <x v="1"/>
    <n v="0"/>
    <s v="IMD GRID MODEL"/>
  </r>
  <r>
    <s v="Puducherry"/>
    <x v="3"/>
    <d v="2019-11-13T00:00:00"/>
    <x v="0"/>
    <x v="1"/>
    <n v="0"/>
    <s v="IMD GRID MODEL"/>
  </r>
  <r>
    <s v="Puducherry"/>
    <x v="3"/>
    <d v="2019-11-19T00:00:00"/>
    <x v="0"/>
    <x v="1"/>
    <n v="3.2887721060000001"/>
    <s v="IMD GRID MODEL"/>
  </r>
  <r>
    <s v="Puducherry"/>
    <x v="3"/>
    <d v="2019-12-02T00:00:00"/>
    <x v="0"/>
    <x v="2"/>
    <n v="15.790308"/>
    <s v="IMD GRID MODEL"/>
  </r>
  <r>
    <s v="Puducherry"/>
    <x v="3"/>
    <d v="2019-12-03T00:00:00"/>
    <x v="0"/>
    <x v="2"/>
    <n v="15.83106422"/>
    <s v="IMD GRID MODEL"/>
  </r>
  <r>
    <s v="Puducherry"/>
    <x v="3"/>
    <d v="2019-12-04T00:00:00"/>
    <x v="0"/>
    <x v="2"/>
    <n v="0"/>
    <s v="IMD GRID MODEL"/>
  </r>
  <r>
    <s v="Puducherry"/>
    <x v="3"/>
    <d v="2019-12-08T00:00:00"/>
    <x v="0"/>
    <x v="2"/>
    <n v="0"/>
    <s v="IMD GRID MODEL"/>
  </r>
  <r>
    <s v="Puducherry"/>
    <x v="3"/>
    <d v="2019-12-09T00:00:00"/>
    <x v="0"/>
    <x v="2"/>
    <n v="0"/>
    <s v="IMD GRID MODEL"/>
  </r>
  <r>
    <s v="Puducherry"/>
    <x v="3"/>
    <d v="2019-12-07T00:00:00"/>
    <x v="0"/>
    <x v="2"/>
    <n v="0"/>
    <s v="IMD GRID MODEL"/>
  </r>
  <r>
    <s v="Puducherry"/>
    <x v="3"/>
    <d v="2019-12-25T00:00:00"/>
    <x v="0"/>
    <x v="2"/>
    <n v="0"/>
    <s v="IMD GRID MODEL"/>
  </r>
  <r>
    <s v="Puducherry"/>
    <x v="3"/>
    <d v="2019-12-26T00:00:00"/>
    <x v="0"/>
    <x v="2"/>
    <n v="6.5805044170000002"/>
    <s v="IMD GRID MODEL"/>
  </r>
  <r>
    <s v="Puducherry"/>
    <x v="3"/>
    <d v="2019-12-28T00:00:00"/>
    <x v="0"/>
    <x v="2"/>
    <n v="0"/>
    <s v="IMD GRID MODEL"/>
  </r>
  <r>
    <s v="Puducherry"/>
    <x v="0"/>
    <d v="2019-01-04T00:00:00"/>
    <x v="0"/>
    <x v="7"/>
    <n v="0"/>
    <s v="IMD GRID MODEL"/>
  </r>
  <r>
    <s v="Puducherry"/>
    <x v="0"/>
    <d v="2019-01-10T00:00:00"/>
    <x v="0"/>
    <x v="7"/>
    <n v="0"/>
    <s v="IMD GRID MODEL"/>
  </r>
  <r>
    <s v="Puducherry"/>
    <x v="0"/>
    <d v="2019-01-12T00:00:00"/>
    <x v="0"/>
    <x v="7"/>
    <n v="0"/>
    <s v="IMD GRID MODEL"/>
  </r>
  <r>
    <s v="Puducherry"/>
    <x v="0"/>
    <d v="2019-01-13T00:00:00"/>
    <x v="0"/>
    <x v="7"/>
    <n v="0"/>
    <s v="IMD GRID MODEL"/>
  </r>
  <r>
    <s v="Puducherry"/>
    <x v="0"/>
    <d v="2019-01-14T00:00:00"/>
    <x v="0"/>
    <x v="7"/>
    <n v="0"/>
    <s v="IMD GRID MODEL"/>
  </r>
  <r>
    <s v="Puducherry"/>
    <x v="0"/>
    <d v="2019-01-15T00:00:00"/>
    <x v="0"/>
    <x v="7"/>
    <n v="0"/>
    <s v="IMD GRID MODEL"/>
  </r>
  <r>
    <s v="Puducherry"/>
    <x v="0"/>
    <d v="2019-01-26T00:00:00"/>
    <x v="0"/>
    <x v="7"/>
    <n v="0"/>
    <s v="IMD GRID MODEL"/>
  </r>
  <r>
    <s v="Puducherry"/>
    <x v="0"/>
    <d v="2019-01-27T00:00:00"/>
    <x v="0"/>
    <x v="7"/>
    <n v="0"/>
    <s v="IMD GRID MODEL"/>
  </r>
  <r>
    <s v="Puducherry"/>
    <x v="0"/>
    <d v="2019-01-30T00:00:00"/>
    <x v="0"/>
    <x v="7"/>
    <n v="0.34661178999999998"/>
    <s v="IMD GRID MODEL"/>
  </r>
  <r>
    <s v="Puducherry"/>
    <x v="0"/>
    <d v="2019-02-02T00:00:00"/>
    <x v="0"/>
    <x v="8"/>
    <n v="0"/>
    <s v="IMD GRID MODEL"/>
  </r>
  <r>
    <s v="Puducherry"/>
    <x v="0"/>
    <d v="2019-02-05T00:00:00"/>
    <x v="0"/>
    <x v="8"/>
    <n v="0"/>
    <s v="IMD GRID MODEL"/>
  </r>
  <r>
    <s v="Puducherry"/>
    <x v="0"/>
    <d v="2019-02-06T00:00:00"/>
    <x v="0"/>
    <x v="8"/>
    <n v="0"/>
    <s v="IMD GRID MODEL"/>
  </r>
  <r>
    <s v="Puducherry"/>
    <x v="0"/>
    <d v="2019-02-09T00:00:00"/>
    <x v="0"/>
    <x v="8"/>
    <n v="0"/>
    <s v="IMD GRID MODEL"/>
  </r>
  <r>
    <s v="Puducherry"/>
    <x v="0"/>
    <d v="2019-02-14T00:00:00"/>
    <x v="0"/>
    <x v="8"/>
    <n v="0"/>
    <s v="IMD GRID MODEL"/>
  </r>
  <r>
    <s v="Puducherry"/>
    <x v="0"/>
    <d v="2019-02-15T00:00:00"/>
    <x v="0"/>
    <x v="8"/>
    <n v="0"/>
    <s v="IMD GRID MODEL"/>
  </r>
  <r>
    <s v="Puducherry"/>
    <x v="0"/>
    <d v="2019-02-17T00:00:00"/>
    <x v="0"/>
    <x v="8"/>
    <n v="0"/>
    <s v="IMD GRID MODEL"/>
  </r>
  <r>
    <s v="Puducherry"/>
    <x v="0"/>
    <d v="2019-02-18T00:00:00"/>
    <x v="0"/>
    <x v="8"/>
    <n v="0"/>
    <s v="IMD GRID MODEL"/>
  </r>
  <r>
    <s v="Puducherry"/>
    <x v="0"/>
    <d v="2019-02-19T00:00:00"/>
    <x v="0"/>
    <x v="8"/>
    <n v="0"/>
    <s v="IMD GRID MODEL"/>
  </r>
  <r>
    <s v="Puducherry"/>
    <x v="0"/>
    <d v="2019-02-24T00:00:00"/>
    <x v="0"/>
    <x v="8"/>
    <n v="0"/>
    <s v="IMD GRID MODEL"/>
  </r>
  <r>
    <s v="Puducherry"/>
    <x v="0"/>
    <d v="2019-02-25T00:00:00"/>
    <x v="0"/>
    <x v="8"/>
    <n v="0"/>
    <s v="IMD GRID MODEL"/>
  </r>
  <r>
    <s v="Puducherry"/>
    <x v="0"/>
    <d v="2019-03-02T00:00:00"/>
    <x v="0"/>
    <x v="3"/>
    <n v="0"/>
    <s v="IMD GRID MODEL"/>
  </r>
  <r>
    <s v="Puducherry"/>
    <x v="0"/>
    <d v="2019-03-04T00:00:00"/>
    <x v="0"/>
    <x v="3"/>
    <n v="0"/>
    <s v="IMD GRID MODEL"/>
  </r>
  <r>
    <s v="Puducherry"/>
    <x v="0"/>
    <d v="2019-03-06T00:00:00"/>
    <x v="0"/>
    <x v="3"/>
    <n v="0"/>
    <s v="IMD GRID MODEL"/>
  </r>
  <r>
    <s v="Puducherry"/>
    <x v="0"/>
    <d v="2019-03-11T00:00:00"/>
    <x v="0"/>
    <x v="3"/>
    <n v="0"/>
    <s v="IMD GRID MODEL"/>
  </r>
  <r>
    <s v="Puducherry"/>
    <x v="0"/>
    <d v="2019-03-17T00:00:00"/>
    <x v="0"/>
    <x v="3"/>
    <n v="0"/>
    <s v="IMD GRID MODEL"/>
  </r>
  <r>
    <s v="Puducherry"/>
    <x v="0"/>
    <d v="2019-03-19T00:00:00"/>
    <x v="0"/>
    <x v="3"/>
    <n v="0"/>
    <s v="IMD GRID MODEL"/>
  </r>
  <r>
    <s v="Puducherry"/>
    <x v="0"/>
    <d v="2019-03-24T00:00:00"/>
    <x v="0"/>
    <x v="3"/>
    <n v="0"/>
    <s v="IMD GRID MODEL"/>
  </r>
  <r>
    <s v="Puducherry"/>
    <x v="0"/>
    <d v="2019-03-28T00:00:00"/>
    <x v="0"/>
    <x v="3"/>
    <n v="0"/>
    <s v="IMD GRID MODEL"/>
  </r>
  <r>
    <s v="Puducherry"/>
    <x v="0"/>
    <d v="2019-04-01T00:00:00"/>
    <x v="0"/>
    <x v="9"/>
    <n v="0"/>
    <s v="IMD GRID MODEL"/>
  </r>
  <r>
    <s v="Puducherry"/>
    <x v="0"/>
    <d v="2019-04-07T00:00:00"/>
    <x v="0"/>
    <x v="9"/>
    <n v="0"/>
    <s v="IMD GRID MODEL"/>
  </r>
  <r>
    <s v="Puducherry"/>
    <x v="0"/>
    <d v="2019-04-15T00:00:00"/>
    <x v="0"/>
    <x v="9"/>
    <n v="0"/>
    <s v="IMD GRID MODEL"/>
  </r>
  <r>
    <s v="Puducherry"/>
    <x v="0"/>
    <d v="2019-04-17T00:00:00"/>
    <x v="0"/>
    <x v="9"/>
    <n v="0"/>
    <s v="IMD GRID MODEL"/>
  </r>
  <r>
    <s v="Puducherry"/>
    <x v="0"/>
    <d v="2019-04-19T00:00:00"/>
    <x v="0"/>
    <x v="9"/>
    <n v="0"/>
    <s v="IMD GRID MODEL"/>
  </r>
  <r>
    <s v="Puducherry"/>
    <x v="0"/>
    <d v="2019-04-26T00:00:00"/>
    <x v="0"/>
    <x v="9"/>
    <n v="0"/>
    <s v="IMD GRID MODEL"/>
  </r>
  <r>
    <s v="Puducherry"/>
    <x v="0"/>
    <d v="2019-05-01T00:00:00"/>
    <x v="0"/>
    <x v="10"/>
    <n v="0"/>
    <s v="IMD GRID MODEL"/>
  </r>
  <r>
    <s v="Puducherry"/>
    <x v="0"/>
    <d v="2019-05-08T00:00:00"/>
    <x v="0"/>
    <x v="10"/>
    <n v="0"/>
    <s v="IMD GRID MODEL"/>
  </r>
  <r>
    <s v="Puducherry"/>
    <x v="0"/>
    <d v="2019-05-10T00:00:00"/>
    <x v="0"/>
    <x v="10"/>
    <n v="0"/>
    <s v="IMD GRID MODEL"/>
  </r>
  <r>
    <s v="Puducherry"/>
    <x v="0"/>
    <d v="2019-05-13T00:00:00"/>
    <x v="0"/>
    <x v="10"/>
    <n v="0"/>
    <s v="IMD GRID MODEL"/>
  </r>
  <r>
    <s v="Puducherry"/>
    <x v="0"/>
    <d v="2019-05-17T00:00:00"/>
    <x v="0"/>
    <x v="10"/>
    <n v="0"/>
    <s v="IMD GRID MODEL"/>
  </r>
  <r>
    <s v="Puducherry"/>
    <x v="0"/>
    <d v="2019-06-03T00:00:00"/>
    <x v="0"/>
    <x v="4"/>
    <n v="0"/>
    <s v="IMD GRID MODEL"/>
  </r>
  <r>
    <s v="Puducherry"/>
    <x v="0"/>
    <d v="2019-06-04T00:00:00"/>
    <x v="0"/>
    <x v="4"/>
    <n v="0"/>
    <s v="IMD GRID MODEL"/>
  </r>
  <r>
    <s v="Puducherry"/>
    <x v="0"/>
    <d v="2019-06-05T00:00:00"/>
    <x v="0"/>
    <x v="4"/>
    <n v="1.6104117000000001E-2"/>
    <s v="IMD GRID MODEL"/>
  </r>
  <r>
    <s v="Puducherry"/>
    <x v="0"/>
    <d v="2019-06-08T00:00:00"/>
    <x v="0"/>
    <x v="4"/>
    <n v="0"/>
    <s v="IMD GRID MODEL"/>
  </r>
  <r>
    <s v="Puducherry"/>
    <x v="0"/>
    <d v="2019-06-11T00:00:00"/>
    <x v="0"/>
    <x v="4"/>
    <n v="0"/>
    <s v="IMD GRID MODEL"/>
  </r>
  <r>
    <s v="Puducherry"/>
    <x v="0"/>
    <d v="2019-06-17T00:00:00"/>
    <x v="0"/>
    <x v="4"/>
    <n v="0"/>
    <s v="IMD GRID MODEL"/>
  </r>
  <r>
    <s v="Puducherry"/>
    <x v="0"/>
    <d v="2019-06-20T00:00:00"/>
    <x v="0"/>
    <x v="4"/>
    <n v="0"/>
    <s v="IMD GRID MODEL"/>
  </r>
  <r>
    <s v="Puducherry"/>
    <x v="0"/>
    <d v="2019-07-02T00:00:00"/>
    <x v="0"/>
    <x v="11"/>
    <n v="0"/>
    <s v="IMD GRID MODEL"/>
  </r>
  <r>
    <s v="Puducherry"/>
    <x v="0"/>
    <d v="2019-07-04T00:00:00"/>
    <x v="0"/>
    <x v="11"/>
    <n v="0"/>
    <s v="IMD GRID MODEL"/>
  </r>
  <r>
    <s v="Puducherry"/>
    <x v="0"/>
    <d v="2019-07-23T00:00:00"/>
    <x v="0"/>
    <x v="11"/>
    <n v="0.48561260299999998"/>
    <s v="IMD GRID MODEL"/>
  </r>
  <r>
    <s v="Puducherry"/>
    <x v="0"/>
    <d v="2019-07-24T00:00:00"/>
    <x v="0"/>
    <x v="11"/>
    <n v="0"/>
    <s v="IMD GRID MODEL"/>
  </r>
  <r>
    <s v="Puducherry"/>
    <x v="0"/>
    <d v="2019-07-26T00:00:00"/>
    <x v="0"/>
    <x v="11"/>
    <n v="4.6021041010000001"/>
    <s v="IMD GRID MODEL"/>
  </r>
  <r>
    <s v="Puducherry"/>
    <x v="0"/>
    <d v="2019-08-02T00:00:00"/>
    <x v="0"/>
    <x v="5"/>
    <n v="0"/>
    <s v="IMD GRID MODEL"/>
  </r>
  <r>
    <s v="Puducherry"/>
    <x v="0"/>
    <d v="2019-08-16T00:00:00"/>
    <x v="0"/>
    <x v="5"/>
    <n v="0"/>
    <s v="IMD GRID MODEL"/>
  </r>
  <r>
    <s v="Puducherry"/>
    <x v="0"/>
    <d v="2019-08-21T00:00:00"/>
    <x v="0"/>
    <x v="5"/>
    <n v="7.8682832759999997"/>
    <s v="IMD GRID MODEL"/>
  </r>
  <r>
    <s v="Puducherry"/>
    <x v="0"/>
    <d v="2019-08-22T00:00:00"/>
    <x v="0"/>
    <x v="5"/>
    <n v="35.027809009999999"/>
    <s v="IMD GRID MODEL"/>
  </r>
  <r>
    <s v="Puducherry"/>
    <x v="0"/>
    <d v="2019-08-28T00:00:00"/>
    <x v="0"/>
    <x v="5"/>
    <n v="0"/>
    <s v="IMD GRID MODEL"/>
  </r>
  <r>
    <s v="Puducherry"/>
    <x v="0"/>
    <d v="2019-09-10T00:00:00"/>
    <x v="0"/>
    <x v="6"/>
    <n v="0"/>
    <s v="IMD GRID MODEL"/>
  </r>
  <r>
    <s v="Puducherry"/>
    <x v="0"/>
    <d v="2019-09-25T00:00:00"/>
    <x v="0"/>
    <x v="6"/>
    <n v="1.0153136270000001"/>
    <s v="IMD GRID MODEL"/>
  </r>
  <r>
    <s v="Puducherry"/>
    <x v="0"/>
    <d v="2019-09-27T00:00:00"/>
    <x v="0"/>
    <x v="6"/>
    <n v="0"/>
    <s v="IMD GRID MODEL"/>
  </r>
  <r>
    <s v="Puducherry"/>
    <x v="0"/>
    <d v="2019-09-22T00:00:00"/>
    <x v="0"/>
    <x v="6"/>
    <n v="1.5625485809999999"/>
    <s v="IMD GRID MODEL"/>
  </r>
  <r>
    <s v="Puducherry"/>
    <x v="0"/>
    <d v="2019-10-01T00:00:00"/>
    <x v="0"/>
    <x v="0"/>
    <n v="0"/>
    <s v="IMD GRID MODEL"/>
  </r>
  <r>
    <s v="Puducherry"/>
    <x v="0"/>
    <d v="2019-10-11T00:00:00"/>
    <x v="0"/>
    <x v="0"/>
    <n v="0"/>
    <s v="IMD GRID MODEL"/>
  </r>
  <r>
    <s v="Puducherry"/>
    <x v="0"/>
    <d v="2019-10-13T00:00:00"/>
    <x v="0"/>
    <x v="0"/>
    <n v="0.14810227500000001"/>
    <s v="IMD GRID MODEL"/>
  </r>
  <r>
    <s v="Puducherry"/>
    <x v="0"/>
    <d v="2019-10-15T00:00:00"/>
    <x v="0"/>
    <x v="0"/>
    <n v="10.51373066"/>
    <s v="IMD GRID MODEL"/>
  </r>
  <r>
    <s v="Puducherry"/>
    <x v="0"/>
    <d v="2019-10-18T00:00:00"/>
    <x v="0"/>
    <x v="0"/>
    <n v="5.4029557649999997"/>
    <s v="IMD GRID MODEL"/>
  </r>
  <r>
    <s v="Puducherry"/>
    <x v="0"/>
    <d v="2019-10-19T00:00:00"/>
    <x v="0"/>
    <x v="0"/>
    <n v="1.120902903"/>
    <s v="IMD GRID MODEL"/>
  </r>
  <r>
    <s v="Puducherry"/>
    <x v="0"/>
    <d v="2019-10-27T00:00:00"/>
    <x v="0"/>
    <x v="0"/>
    <n v="0"/>
    <s v="IMD GRID MODEL"/>
  </r>
  <r>
    <s v="Puducherry"/>
    <x v="0"/>
    <d v="2019-11-17T00:00:00"/>
    <x v="0"/>
    <x v="1"/>
    <n v="6.4641003489999997"/>
    <s v="IMD GRID MODEL"/>
  </r>
  <r>
    <s v="Puducherry"/>
    <x v="0"/>
    <d v="2019-11-18T00:00:00"/>
    <x v="0"/>
    <x v="1"/>
    <n v="1.5827143770000001"/>
    <s v="IMD GRID MODEL"/>
  </r>
  <r>
    <s v="Puducherry"/>
    <x v="0"/>
    <d v="2019-11-22T00:00:00"/>
    <x v="0"/>
    <x v="1"/>
    <n v="17.735902169999999"/>
    <s v="IMD GRID MODEL"/>
  </r>
  <r>
    <s v="Puducherry"/>
    <x v="0"/>
    <d v="2019-12-01T00:00:00"/>
    <x v="0"/>
    <x v="2"/>
    <n v="119.018776"/>
    <s v="IMD GRID MODEL"/>
  </r>
  <r>
    <s v="Puducherry"/>
    <x v="0"/>
    <d v="2019-12-05T00:00:00"/>
    <x v="0"/>
    <x v="2"/>
    <n v="0.94264648500000003"/>
    <s v="IMD GRID MODEL"/>
  </r>
  <r>
    <s v="Puducherry"/>
    <x v="0"/>
    <d v="2019-12-16T00:00:00"/>
    <x v="0"/>
    <x v="2"/>
    <n v="0"/>
    <s v="IMD GRID MODEL"/>
  </r>
  <r>
    <s v="Puducherry"/>
    <x v="0"/>
    <d v="2019-12-18T00:00:00"/>
    <x v="0"/>
    <x v="2"/>
    <n v="0.56988637900000005"/>
    <s v="IMD GRID MODEL"/>
  </r>
  <r>
    <s v="Puducherry"/>
    <x v="0"/>
    <d v="2019-12-25T00:00:00"/>
    <x v="0"/>
    <x v="2"/>
    <n v="12.680037799999999"/>
    <s v="IMD GRID MODEL"/>
  </r>
  <r>
    <s v="Puducherry"/>
    <x v="0"/>
    <d v="2019-02-04T00:00:00"/>
    <x v="0"/>
    <x v="8"/>
    <n v="0"/>
    <s v="IMD GRID MODEL"/>
  </r>
  <r>
    <s v="Puducherry"/>
    <x v="0"/>
    <d v="2019-08-09T00:00:00"/>
    <x v="0"/>
    <x v="5"/>
    <n v="0"/>
    <s v="IMD GRID MODEL"/>
  </r>
  <r>
    <s v="Puducherry"/>
    <x v="0"/>
    <d v="2019-08-30T00:00:00"/>
    <x v="0"/>
    <x v="5"/>
    <n v="2.9445624229999998"/>
    <s v="IMD GRID MODEL"/>
  </r>
  <r>
    <s v="Puducherry"/>
    <x v="1"/>
    <d v="2019-01-03T00:00:00"/>
    <x v="0"/>
    <x v="7"/>
    <n v="0"/>
    <s v="IMD GRID MODEL"/>
  </r>
  <r>
    <s v="Puducherry"/>
    <x v="1"/>
    <d v="2019-01-08T00:00:00"/>
    <x v="0"/>
    <x v="7"/>
    <n v="0"/>
    <s v="IMD GRID MODEL"/>
  </r>
  <r>
    <s v="Puducherry"/>
    <x v="1"/>
    <d v="2019-01-10T00:00:00"/>
    <x v="0"/>
    <x v="7"/>
    <n v="0"/>
    <s v="IMD GRID MODEL"/>
  </r>
  <r>
    <s v="Puducherry"/>
    <x v="1"/>
    <d v="2019-01-14T00:00:00"/>
    <x v="0"/>
    <x v="7"/>
    <n v="0"/>
    <s v="IMD GRID MODEL"/>
  </r>
  <r>
    <s v="Puducherry"/>
    <x v="1"/>
    <d v="2019-01-28T00:00:00"/>
    <x v="0"/>
    <x v="7"/>
    <n v="4.8676037790000004"/>
    <s v="IMD GRID MODEL"/>
  </r>
  <r>
    <s v="Puducherry"/>
    <x v="1"/>
    <d v="2019-02-04T00:00:00"/>
    <x v="0"/>
    <x v="8"/>
    <n v="0"/>
    <s v="IMD GRID MODEL"/>
  </r>
  <r>
    <s v="Puducherry"/>
    <x v="1"/>
    <d v="2019-02-11T00:00:00"/>
    <x v="0"/>
    <x v="8"/>
    <n v="0"/>
    <s v="IMD GRID MODEL"/>
  </r>
  <r>
    <s v="Puducherry"/>
    <x v="1"/>
    <d v="2019-02-13T00:00:00"/>
    <x v="0"/>
    <x v="8"/>
    <n v="0"/>
    <s v="IMD GRID MODEL"/>
  </r>
  <r>
    <s v="Puducherry"/>
    <x v="1"/>
    <d v="2019-02-20T00:00:00"/>
    <x v="0"/>
    <x v="8"/>
    <n v="0"/>
    <s v="IMD GRID MODEL"/>
  </r>
  <r>
    <s v="Puducherry"/>
    <x v="1"/>
    <d v="2019-02-27T00:00:00"/>
    <x v="0"/>
    <x v="8"/>
    <n v="0"/>
    <s v="IMD GRID MODEL"/>
  </r>
  <r>
    <s v="Puducherry"/>
    <x v="1"/>
    <d v="2019-03-01T00:00:00"/>
    <x v="0"/>
    <x v="3"/>
    <n v="2.1286721229999999"/>
    <s v="IMD GRID MODEL"/>
  </r>
  <r>
    <s v="Puducherry"/>
    <x v="1"/>
    <d v="2019-03-02T00:00:00"/>
    <x v="0"/>
    <x v="3"/>
    <n v="5.8954892159999996"/>
    <s v="IMD GRID MODEL"/>
  </r>
  <r>
    <s v="Puducherry"/>
    <x v="1"/>
    <d v="2019-03-11T00:00:00"/>
    <x v="0"/>
    <x v="3"/>
    <n v="0"/>
    <s v="IMD GRID MODEL"/>
  </r>
  <r>
    <s v="Puducherry"/>
    <x v="1"/>
    <d v="2019-03-14T00:00:00"/>
    <x v="0"/>
    <x v="3"/>
    <n v="0"/>
    <s v="IMD GRID MODEL"/>
  </r>
  <r>
    <s v="Puducherry"/>
    <x v="1"/>
    <d v="2019-03-17T00:00:00"/>
    <x v="0"/>
    <x v="3"/>
    <n v="0"/>
    <s v="IMD GRID MODEL"/>
  </r>
  <r>
    <s v="Puducherry"/>
    <x v="1"/>
    <d v="2019-03-18T00:00:00"/>
    <x v="0"/>
    <x v="3"/>
    <n v="0"/>
    <s v="IMD GRID MODEL"/>
  </r>
  <r>
    <s v="Puducherry"/>
    <x v="1"/>
    <d v="2019-03-22T00:00:00"/>
    <x v="0"/>
    <x v="3"/>
    <n v="0"/>
    <s v="IMD GRID MODEL"/>
  </r>
  <r>
    <s v="Puducherry"/>
    <x v="1"/>
    <d v="2019-03-23T00:00:00"/>
    <x v="0"/>
    <x v="3"/>
    <n v="0"/>
    <s v="IMD GRID MODEL"/>
  </r>
  <r>
    <s v="Puducherry"/>
    <x v="1"/>
    <d v="2019-03-24T00:00:00"/>
    <x v="0"/>
    <x v="3"/>
    <n v="0"/>
    <s v="IMD GRID MODEL"/>
  </r>
  <r>
    <s v="Puducherry"/>
    <x v="1"/>
    <d v="2019-03-26T00:00:00"/>
    <x v="0"/>
    <x v="3"/>
    <n v="0"/>
    <s v="IMD GRID MODEL"/>
  </r>
  <r>
    <s v="Puducherry"/>
    <x v="1"/>
    <d v="2019-03-28T00:00:00"/>
    <x v="0"/>
    <x v="3"/>
    <n v="0"/>
    <s v="IMD GRID MODEL"/>
  </r>
  <r>
    <s v="Puducherry"/>
    <x v="1"/>
    <d v="2019-03-31T00:00:00"/>
    <x v="0"/>
    <x v="3"/>
    <n v="0"/>
    <s v="IMD GRID MODEL"/>
  </r>
  <r>
    <s v="Puducherry"/>
    <x v="1"/>
    <d v="2019-04-06T00:00:00"/>
    <x v="0"/>
    <x v="9"/>
    <n v="0"/>
    <s v="IMD GRID MODEL"/>
  </r>
  <r>
    <s v="Puducherry"/>
    <x v="1"/>
    <d v="2019-04-13T00:00:00"/>
    <x v="0"/>
    <x v="9"/>
    <n v="4.4513115880000003"/>
    <s v="IMD GRID MODEL"/>
  </r>
  <r>
    <s v="Puducherry"/>
    <x v="1"/>
    <d v="2019-04-18T00:00:00"/>
    <x v="0"/>
    <x v="9"/>
    <n v="0"/>
    <s v="IMD GRID MODEL"/>
  </r>
  <r>
    <s v="Puducherry"/>
    <x v="1"/>
    <d v="2019-04-19T00:00:00"/>
    <x v="0"/>
    <x v="9"/>
    <n v="0"/>
    <s v="IMD GRID MODEL"/>
  </r>
  <r>
    <s v="Puducherry"/>
    <x v="1"/>
    <d v="2019-04-21T00:00:00"/>
    <x v="0"/>
    <x v="9"/>
    <n v="0.50669956199999999"/>
    <s v="IMD GRID MODEL"/>
  </r>
  <r>
    <s v="Puducherry"/>
    <x v="1"/>
    <d v="2019-04-23T00:00:00"/>
    <x v="0"/>
    <x v="9"/>
    <n v="1.841421843"/>
    <s v="IMD GRID MODEL"/>
  </r>
  <r>
    <s v="Puducherry"/>
    <x v="1"/>
    <d v="2019-04-24T00:00:00"/>
    <x v="0"/>
    <x v="9"/>
    <n v="0.74040770499999997"/>
    <s v="IMD GRID MODEL"/>
  </r>
  <r>
    <s v="Puducherry"/>
    <x v="1"/>
    <d v="2019-04-25T00:00:00"/>
    <x v="0"/>
    <x v="9"/>
    <n v="0"/>
    <s v="IMD GRID MODEL"/>
  </r>
  <r>
    <s v="Puducherry"/>
    <x v="1"/>
    <d v="2019-05-07T00:00:00"/>
    <x v="0"/>
    <x v="10"/>
    <n v="0"/>
    <s v="IMD GRID MODEL"/>
  </r>
  <r>
    <s v="Puducherry"/>
    <x v="1"/>
    <d v="2019-05-09T00:00:00"/>
    <x v="0"/>
    <x v="10"/>
    <n v="0"/>
    <s v="IMD GRID MODEL"/>
  </r>
  <r>
    <s v="Puducherry"/>
    <x v="1"/>
    <d v="2019-05-14T00:00:00"/>
    <x v="0"/>
    <x v="10"/>
    <n v="0"/>
    <s v="IMD GRID MODEL"/>
  </r>
  <r>
    <s v="Puducherry"/>
    <x v="1"/>
    <d v="2019-05-17T00:00:00"/>
    <x v="0"/>
    <x v="10"/>
    <n v="0"/>
    <s v="IMD GRID MODEL"/>
  </r>
  <r>
    <s v="Puducherry"/>
    <x v="1"/>
    <d v="2019-05-23T00:00:00"/>
    <x v="0"/>
    <x v="10"/>
    <n v="0"/>
    <s v="IMD GRID MODEL"/>
  </r>
  <r>
    <s v="Puducherry"/>
    <x v="1"/>
    <d v="2019-06-02T00:00:00"/>
    <x v="0"/>
    <x v="4"/>
    <n v="0"/>
    <s v="IMD GRID MODEL"/>
  </r>
  <r>
    <s v="Puducherry"/>
    <x v="1"/>
    <d v="2019-06-26T00:00:00"/>
    <x v="0"/>
    <x v="4"/>
    <n v="0.173396736"/>
    <s v="IMD GRID MODEL"/>
  </r>
  <r>
    <s v="Puducherry"/>
    <x v="1"/>
    <d v="2019-07-08T00:00:00"/>
    <x v="0"/>
    <x v="11"/>
    <n v="10.969824790000001"/>
    <s v="IMD GRID MODEL"/>
  </r>
  <r>
    <s v="Puducherry"/>
    <x v="1"/>
    <d v="2019-07-14T00:00:00"/>
    <x v="0"/>
    <x v="11"/>
    <n v="4.9069962499999997"/>
    <s v="IMD GRID MODEL"/>
  </r>
  <r>
    <s v="Puducherry"/>
    <x v="1"/>
    <d v="2019-07-30T00:00:00"/>
    <x v="0"/>
    <x v="11"/>
    <n v="4.0027446749999998"/>
    <s v="IMD GRID MODEL"/>
  </r>
  <r>
    <s v="Puducherry"/>
    <x v="1"/>
    <d v="2019-08-02T00:00:00"/>
    <x v="0"/>
    <x v="5"/>
    <n v="50.298553470000002"/>
    <s v="IMD GRID MODEL"/>
  </r>
  <r>
    <s v="Puducherry"/>
    <x v="1"/>
    <d v="2019-08-08T00:00:00"/>
    <x v="0"/>
    <x v="5"/>
    <n v="15.878356930000001"/>
    <s v="IMD GRID MODEL"/>
  </r>
  <r>
    <s v="Puducherry"/>
    <x v="1"/>
    <d v="2019-08-09T00:00:00"/>
    <x v="0"/>
    <x v="5"/>
    <n v="11.387993809999999"/>
    <s v="IMD GRID MODEL"/>
  </r>
  <r>
    <s v="Puducherry"/>
    <x v="1"/>
    <d v="2019-08-11T00:00:00"/>
    <x v="0"/>
    <x v="5"/>
    <n v="0"/>
    <s v="IMD GRID MODEL"/>
  </r>
  <r>
    <s v="Puducherry"/>
    <x v="1"/>
    <d v="2019-08-13T00:00:00"/>
    <x v="0"/>
    <x v="5"/>
    <n v="1.8677855729999999"/>
    <s v="IMD GRID MODEL"/>
  </r>
  <r>
    <s v="Puducherry"/>
    <x v="1"/>
    <d v="2019-08-18T00:00:00"/>
    <x v="0"/>
    <x v="5"/>
    <n v="2.5740859509999998"/>
    <s v="IMD GRID MODEL"/>
  </r>
  <r>
    <s v="Puducherry"/>
    <x v="1"/>
    <d v="2019-08-22T00:00:00"/>
    <x v="0"/>
    <x v="5"/>
    <n v="3.7945895200000002"/>
    <s v="IMD GRID MODEL"/>
  </r>
  <r>
    <s v="Puducherry"/>
    <x v="1"/>
    <d v="2019-08-26T00:00:00"/>
    <x v="0"/>
    <x v="5"/>
    <n v="1.9845222229999999"/>
    <s v="IMD GRID MODEL"/>
  </r>
  <r>
    <s v="Puducherry"/>
    <x v="1"/>
    <d v="2019-08-30T00:00:00"/>
    <x v="0"/>
    <x v="5"/>
    <n v="0"/>
    <s v="IMD GRID MODEL"/>
  </r>
  <r>
    <s v="Puducherry"/>
    <x v="1"/>
    <d v="2019-09-03T00:00:00"/>
    <x v="0"/>
    <x v="6"/>
    <n v="1.9506639240000001"/>
    <s v="IMD GRID MODEL"/>
  </r>
  <r>
    <s v="Puducherry"/>
    <x v="1"/>
    <d v="2019-09-06T00:00:00"/>
    <x v="0"/>
    <x v="6"/>
    <n v="7.7925386430000003"/>
    <s v="IMD GRID MODEL"/>
  </r>
  <r>
    <s v="Puducherry"/>
    <x v="1"/>
    <d v="2019-09-12T00:00:00"/>
    <x v="0"/>
    <x v="6"/>
    <n v="22.338043209999999"/>
    <s v="IMD GRID MODEL"/>
  </r>
  <r>
    <s v="Puducherry"/>
    <x v="1"/>
    <d v="2019-10-06T00:00:00"/>
    <x v="0"/>
    <x v="0"/>
    <n v="4.442446232"/>
    <s v="IMD GRID MODEL"/>
  </r>
  <r>
    <s v="Puducherry"/>
    <x v="1"/>
    <d v="2019-10-10T00:00:00"/>
    <x v="0"/>
    <x v="0"/>
    <n v="2.8690795900000001"/>
    <s v="IMD GRID MODEL"/>
  </r>
  <r>
    <s v="Puducherry"/>
    <x v="1"/>
    <d v="2019-10-17T00:00:00"/>
    <x v="0"/>
    <x v="0"/>
    <n v="5.8866634370000002"/>
    <s v="IMD GRID MODEL"/>
  </r>
  <r>
    <s v="Puducherry"/>
    <x v="1"/>
    <d v="2019-10-18T00:00:00"/>
    <x v="0"/>
    <x v="0"/>
    <n v="26.32350349"/>
    <s v="IMD GRID MODEL"/>
  </r>
  <r>
    <s v="Puducherry"/>
    <x v="1"/>
    <d v="2019-10-28T00:00:00"/>
    <x v="0"/>
    <x v="0"/>
    <n v="0"/>
    <s v="IMD GRID MODEL"/>
  </r>
  <r>
    <s v="Puducherry"/>
    <x v="1"/>
    <d v="2019-11-04T00:00:00"/>
    <x v="0"/>
    <x v="1"/>
    <n v="0"/>
    <s v="IMD GRID MODEL"/>
  </r>
  <r>
    <s v="Puducherry"/>
    <x v="1"/>
    <d v="2019-11-05T00:00:00"/>
    <x v="0"/>
    <x v="1"/>
    <n v="0"/>
    <s v="IMD GRID MODEL"/>
  </r>
  <r>
    <s v="Puducherry"/>
    <x v="1"/>
    <d v="2019-11-11T00:00:00"/>
    <x v="0"/>
    <x v="1"/>
    <n v="0"/>
    <s v="IMD GRID MODEL"/>
  </r>
  <r>
    <s v="Puducherry"/>
    <x v="1"/>
    <d v="2019-11-19T00:00:00"/>
    <x v="0"/>
    <x v="1"/>
    <n v="0"/>
    <s v="IMD GRID MODEL"/>
  </r>
  <r>
    <s v="Puducherry"/>
    <x v="1"/>
    <d v="2019-11-23T00:00:00"/>
    <x v="0"/>
    <x v="1"/>
    <n v="0"/>
    <s v="IMD GRID MODEL"/>
  </r>
  <r>
    <s v="Puducherry"/>
    <x v="1"/>
    <d v="2019-11-27T00:00:00"/>
    <x v="0"/>
    <x v="1"/>
    <n v="0"/>
    <s v="IMD GRID MODEL"/>
  </r>
  <r>
    <s v="Puducherry"/>
    <x v="1"/>
    <d v="2019-11-30T00:00:00"/>
    <x v="0"/>
    <x v="1"/>
    <n v="0"/>
    <s v="IMD GRID MODEL"/>
  </r>
  <r>
    <s v="Puducherry"/>
    <x v="1"/>
    <d v="2019-12-15T00:00:00"/>
    <x v="0"/>
    <x v="2"/>
    <n v="0"/>
    <s v="IMD GRID MODEL"/>
  </r>
  <r>
    <s v="Puducherry"/>
    <x v="1"/>
    <d v="2019-12-16T00:00:00"/>
    <x v="0"/>
    <x v="2"/>
    <n v="0"/>
    <s v="IMD GRID MODEL"/>
  </r>
  <r>
    <s v="Puducherry"/>
    <x v="1"/>
    <d v="2019-12-18T00:00:00"/>
    <x v="0"/>
    <x v="2"/>
    <n v="0"/>
    <s v="IMD GRID MODEL"/>
  </r>
  <r>
    <s v="Puducherry"/>
    <x v="1"/>
    <d v="2019-12-20T00:00:00"/>
    <x v="0"/>
    <x v="2"/>
    <n v="0"/>
    <s v="IMD GRID MODEL"/>
  </r>
  <r>
    <s v="Puducherry"/>
    <x v="1"/>
    <d v="2019-12-25T00:00:00"/>
    <x v="0"/>
    <x v="2"/>
    <n v="0"/>
    <s v="IMD GRID MODEL"/>
  </r>
  <r>
    <s v="Puducherry"/>
    <x v="1"/>
    <d v="2019-12-29T00:00:00"/>
    <x v="0"/>
    <x v="2"/>
    <n v="0.27743479599999998"/>
    <s v="IMD GRID MODEL"/>
  </r>
  <r>
    <s v="Puducherry"/>
    <x v="2"/>
    <d v="2019-01-11T00:00:00"/>
    <x v="0"/>
    <x v="7"/>
    <n v="0"/>
    <s v="IMD GRID MODEL"/>
  </r>
  <r>
    <s v="Puducherry"/>
    <x v="2"/>
    <d v="2019-01-14T00:00:00"/>
    <x v="0"/>
    <x v="7"/>
    <n v="0"/>
    <s v="IMD GRID MODEL"/>
  </r>
  <r>
    <s v="Puducherry"/>
    <x v="2"/>
    <d v="2019-01-16T00:00:00"/>
    <x v="0"/>
    <x v="7"/>
    <n v="0"/>
    <s v="IMD GRID MODEL"/>
  </r>
  <r>
    <s v="Puducherry"/>
    <x v="2"/>
    <d v="2019-01-21T00:00:00"/>
    <x v="0"/>
    <x v="7"/>
    <n v="0"/>
    <s v="IMD GRID MODEL"/>
  </r>
  <r>
    <s v="Puducherry"/>
    <x v="2"/>
    <d v="2019-02-05T00:00:00"/>
    <x v="0"/>
    <x v="8"/>
    <n v="9.1658143019999994"/>
    <s v="IMD GRID MODEL"/>
  </r>
  <r>
    <s v="Puducherry"/>
    <x v="2"/>
    <d v="2019-02-12T00:00:00"/>
    <x v="0"/>
    <x v="8"/>
    <n v="0"/>
    <s v="IMD GRID MODEL"/>
  </r>
  <r>
    <s v="Puducherry"/>
    <x v="2"/>
    <d v="2019-02-14T00:00:00"/>
    <x v="0"/>
    <x v="8"/>
    <n v="0"/>
    <s v="IMD GRID MODEL"/>
  </r>
  <r>
    <s v="Puducherry"/>
    <x v="2"/>
    <d v="2019-02-23T00:00:00"/>
    <x v="0"/>
    <x v="8"/>
    <n v="0"/>
    <s v="IMD GRID MODEL"/>
  </r>
  <r>
    <s v="Puducherry"/>
    <x v="2"/>
    <d v="2019-03-01T00:00:00"/>
    <x v="0"/>
    <x v="3"/>
    <n v="0.33684079099999997"/>
    <s v="IMD GRID MODEL"/>
  </r>
  <r>
    <s v="Puducherry"/>
    <x v="2"/>
    <d v="2019-03-04T00:00:00"/>
    <x v="0"/>
    <x v="3"/>
    <n v="0"/>
    <s v="IMD GRID MODEL"/>
  </r>
  <r>
    <s v="Puducherry"/>
    <x v="2"/>
    <d v="2019-03-10T00:00:00"/>
    <x v="0"/>
    <x v="3"/>
    <n v="0"/>
    <s v="IMD GRID MODEL"/>
  </r>
  <r>
    <s v="Puducherry"/>
    <x v="2"/>
    <d v="2019-03-25T00:00:00"/>
    <x v="0"/>
    <x v="3"/>
    <n v="0"/>
    <s v="IMD GRID MODEL"/>
  </r>
  <r>
    <s v="Puducherry"/>
    <x v="2"/>
    <d v="2019-03-30T00:00:00"/>
    <x v="0"/>
    <x v="3"/>
    <n v="0"/>
    <s v="IMD GRID MODEL"/>
  </r>
  <r>
    <s v="Puducherry"/>
    <x v="2"/>
    <d v="2019-04-04T00:00:00"/>
    <x v="0"/>
    <x v="9"/>
    <n v="0"/>
    <s v="IMD GRID MODEL"/>
  </r>
  <r>
    <s v="Puducherry"/>
    <x v="2"/>
    <d v="2019-01-02T00:00:00"/>
    <x v="0"/>
    <x v="7"/>
    <n v="0"/>
    <s v="IMD GRID MODEL"/>
  </r>
  <r>
    <s v="Puducherry"/>
    <x v="2"/>
    <d v="2019-01-09T00:00:00"/>
    <x v="0"/>
    <x v="7"/>
    <n v="0"/>
    <s v="IMD GRID MODEL"/>
  </r>
  <r>
    <s v="Puducherry"/>
    <x v="2"/>
    <d v="2019-01-13T00:00:00"/>
    <x v="0"/>
    <x v="7"/>
    <n v="0"/>
    <s v="IMD GRID MODEL"/>
  </r>
  <r>
    <s v="Puducherry"/>
    <x v="2"/>
    <d v="2019-01-25T00:00:00"/>
    <x v="0"/>
    <x v="7"/>
    <n v="0"/>
    <s v="IMD GRID MODEL"/>
  </r>
  <r>
    <s v="Puducherry"/>
    <x v="2"/>
    <d v="2019-01-26T00:00:00"/>
    <x v="0"/>
    <x v="7"/>
    <n v="0"/>
    <s v="IMD GRID MODEL"/>
  </r>
  <r>
    <s v="Puducherry"/>
    <x v="2"/>
    <d v="2019-02-07T00:00:00"/>
    <x v="0"/>
    <x v="8"/>
    <n v="0"/>
    <s v="IMD GRID MODEL"/>
  </r>
  <r>
    <s v="Puducherry"/>
    <x v="2"/>
    <d v="2019-02-17T00:00:00"/>
    <x v="0"/>
    <x v="8"/>
    <n v="0"/>
    <s v="IMD GRID MODEL"/>
  </r>
  <r>
    <s v="Puducherry"/>
    <x v="2"/>
    <d v="2019-02-27T00:00:00"/>
    <x v="0"/>
    <x v="8"/>
    <n v="0"/>
    <s v="IMD GRID MODEL"/>
  </r>
  <r>
    <s v="Puducherry"/>
    <x v="2"/>
    <d v="2019-03-08T00:00:00"/>
    <x v="0"/>
    <x v="3"/>
    <n v="0"/>
    <s v="IMD GRID MODEL"/>
  </r>
  <r>
    <s v="Puducherry"/>
    <x v="2"/>
    <d v="2019-03-20T00:00:00"/>
    <x v="0"/>
    <x v="3"/>
    <n v="0"/>
    <s v="IMD GRID MODEL"/>
  </r>
  <r>
    <s v="Puducherry"/>
    <x v="2"/>
    <d v="2019-03-23T00:00:00"/>
    <x v="0"/>
    <x v="3"/>
    <n v="0"/>
    <s v="IMD GRID MODEL"/>
  </r>
  <r>
    <s v="Puducherry"/>
    <x v="2"/>
    <d v="2019-04-21T00:00:00"/>
    <x v="0"/>
    <x v="9"/>
    <n v="0"/>
    <s v="IMD GRID MODEL"/>
  </r>
  <r>
    <s v="Puducherry"/>
    <x v="2"/>
    <d v="2019-05-15T00:00:00"/>
    <x v="0"/>
    <x v="10"/>
    <n v="0"/>
    <s v="IMD GRID MODEL"/>
  </r>
  <r>
    <s v="Puducherry"/>
    <x v="2"/>
    <d v="2019-05-16T00:00:00"/>
    <x v="0"/>
    <x v="10"/>
    <n v="0"/>
    <s v="IMD GRID MODEL"/>
  </r>
  <r>
    <s v="Puducherry"/>
    <x v="2"/>
    <d v="2019-05-18T00:00:00"/>
    <x v="0"/>
    <x v="10"/>
    <n v="0"/>
    <s v="IMD GRID MODEL"/>
  </r>
  <r>
    <s v="Puducherry"/>
    <x v="2"/>
    <d v="2019-05-31T00:00:00"/>
    <x v="0"/>
    <x v="10"/>
    <n v="0"/>
    <s v="IMD GRID MODEL"/>
  </r>
  <r>
    <s v="Puducherry"/>
    <x v="2"/>
    <d v="2019-06-03T00:00:00"/>
    <x v="0"/>
    <x v="4"/>
    <n v="0"/>
    <s v="IMD GRID MODEL"/>
  </r>
  <r>
    <s v="Puducherry"/>
    <x v="2"/>
    <d v="2019-06-07T00:00:00"/>
    <x v="0"/>
    <x v="4"/>
    <n v="0"/>
    <s v="IMD GRID MODEL"/>
  </r>
  <r>
    <s v="Puducherry"/>
    <x v="2"/>
    <d v="2019-06-11T00:00:00"/>
    <x v="0"/>
    <x v="4"/>
    <n v="0"/>
    <s v="IMD GRID MODEL"/>
  </r>
  <r>
    <s v="Puducherry"/>
    <x v="2"/>
    <d v="2019-06-17T00:00:00"/>
    <x v="0"/>
    <x v="4"/>
    <n v="0"/>
    <s v="IMD GRID MODEL"/>
  </r>
  <r>
    <s v="Puducherry"/>
    <x v="2"/>
    <d v="2019-06-18T00:00:00"/>
    <x v="0"/>
    <x v="4"/>
    <n v="0"/>
    <s v="IMD GRID MODEL"/>
  </r>
  <r>
    <s v="Puducherry"/>
    <x v="2"/>
    <d v="2019-06-19T00:00:00"/>
    <x v="0"/>
    <x v="4"/>
    <n v="0"/>
    <s v="IMD GRID MODEL"/>
  </r>
  <r>
    <s v="Puducherry"/>
    <x v="2"/>
    <d v="2019-06-23T00:00:00"/>
    <x v="0"/>
    <x v="4"/>
    <n v="0"/>
    <s v="IMD GRID MODEL"/>
  </r>
  <r>
    <s v="Puducherry"/>
    <x v="2"/>
    <d v="2019-07-01T00:00:00"/>
    <x v="0"/>
    <x v="11"/>
    <n v="0"/>
    <s v="IMD GRID MODEL"/>
  </r>
  <r>
    <s v="Puducherry"/>
    <x v="2"/>
    <d v="2019-07-06T00:00:00"/>
    <x v="0"/>
    <x v="11"/>
    <n v="0"/>
    <s v="IMD GRID MODEL"/>
  </r>
  <r>
    <s v="Puducherry"/>
    <x v="2"/>
    <d v="2019-07-12T00:00:00"/>
    <x v="0"/>
    <x v="11"/>
    <n v="0"/>
    <s v="IMD GRID MODEL"/>
  </r>
  <r>
    <s v="Puducherry"/>
    <x v="2"/>
    <d v="2019-07-13T00:00:00"/>
    <x v="0"/>
    <x v="11"/>
    <n v="0"/>
    <s v="IMD GRID MODEL"/>
  </r>
  <r>
    <s v="Puducherry"/>
    <x v="2"/>
    <d v="2019-07-20T00:00:00"/>
    <x v="0"/>
    <x v="11"/>
    <n v="0.53703348799999995"/>
    <s v="IMD GRID MODEL"/>
  </r>
  <r>
    <s v="Puducherry"/>
    <x v="2"/>
    <d v="2019-07-22T00:00:00"/>
    <x v="0"/>
    <x v="11"/>
    <n v="0.50526117299999995"/>
    <s v="IMD GRID MODEL"/>
  </r>
  <r>
    <s v="Puducherry"/>
    <x v="2"/>
    <d v="2019-07-24T00:00:00"/>
    <x v="0"/>
    <x v="11"/>
    <n v="0"/>
    <s v="IMD GRID MODEL"/>
  </r>
  <r>
    <s v="Puducherry"/>
    <x v="2"/>
    <d v="2019-07-29T00:00:00"/>
    <x v="0"/>
    <x v="11"/>
    <n v="0.113891188"/>
    <s v="IMD GRID MODEL"/>
  </r>
  <r>
    <s v="Puducherry"/>
    <x v="2"/>
    <d v="2019-08-09T00:00:00"/>
    <x v="0"/>
    <x v="5"/>
    <n v="0"/>
    <s v="IMD GRID MODEL"/>
  </r>
  <r>
    <s v="Puducherry"/>
    <x v="2"/>
    <d v="2019-08-10T00:00:00"/>
    <x v="0"/>
    <x v="5"/>
    <n v="0"/>
    <s v="IMD GRID MODEL"/>
  </r>
  <r>
    <s v="Puducherry"/>
    <x v="2"/>
    <d v="2019-08-14T00:00:00"/>
    <x v="0"/>
    <x v="5"/>
    <n v="0.80293294000000004"/>
    <s v="IMD GRID MODEL"/>
  </r>
  <r>
    <s v="Puducherry"/>
    <x v="2"/>
    <d v="2019-08-16T00:00:00"/>
    <x v="0"/>
    <x v="5"/>
    <n v="7.2001261999999996E-2"/>
    <s v="IMD GRID MODEL"/>
  </r>
  <r>
    <s v="Puducherry"/>
    <x v="2"/>
    <d v="2019-08-17T00:00:00"/>
    <x v="0"/>
    <x v="5"/>
    <n v="19.723949990000001"/>
    <s v="IMD GRID MODEL"/>
  </r>
  <r>
    <s v="Puducherry"/>
    <x v="2"/>
    <d v="2019-08-21T00:00:00"/>
    <x v="0"/>
    <x v="5"/>
    <n v="5.4741565679999997"/>
    <s v="IMD GRID MODEL"/>
  </r>
  <r>
    <s v="Puducherry"/>
    <x v="2"/>
    <d v="2019-08-23T00:00:00"/>
    <x v="0"/>
    <x v="5"/>
    <n v="23.774363229999999"/>
    <s v="IMD GRID MODEL"/>
  </r>
  <r>
    <s v="Puducherry"/>
    <x v="2"/>
    <d v="2019-09-03T00:00:00"/>
    <x v="0"/>
    <x v="6"/>
    <n v="4.4372612999999998E-2"/>
    <s v="IMD GRID MODEL"/>
  </r>
  <r>
    <s v="Puducherry"/>
    <x v="2"/>
    <d v="2019-09-05T00:00:00"/>
    <x v="0"/>
    <x v="6"/>
    <n v="1.5090083569999999"/>
    <s v="IMD GRID MODEL"/>
  </r>
  <r>
    <s v="Puducherry"/>
    <x v="2"/>
    <d v="2019-09-07T00:00:00"/>
    <x v="0"/>
    <x v="6"/>
    <n v="0"/>
    <s v="IMD GRID MODEL"/>
  </r>
  <r>
    <s v="Puducherry"/>
    <x v="2"/>
    <d v="2019-09-13T00:00:00"/>
    <x v="0"/>
    <x v="6"/>
    <n v="4.4139799670000004"/>
    <s v="IMD GRID MODEL"/>
  </r>
  <r>
    <s v="Puducherry"/>
    <x v="2"/>
    <d v="2019-09-18T00:00:00"/>
    <x v="0"/>
    <x v="6"/>
    <n v="32.593219329999997"/>
    <s v="IMD GRID MODEL"/>
  </r>
  <r>
    <s v="Puducherry"/>
    <x v="2"/>
    <d v="2019-09-21T00:00:00"/>
    <x v="0"/>
    <x v="6"/>
    <n v="0.102779131"/>
    <s v="IMD GRID MODEL"/>
  </r>
  <r>
    <s v="Puducherry"/>
    <x v="2"/>
    <d v="2019-09-30T00:00:00"/>
    <x v="0"/>
    <x v="6"/>
    <n v="32.057342329999997"/>
    <s v="IMD GRID MODEL"/>
  </r>
  <r>
    <s v="Puducherry"/>
    <x v="2"/>
    <d v="2019-10-11T00:00:00"/>
    <x v="0"/>
    <x v="0"/>
    <n v="0"/>
    <s v="IMD GRID MODEL"/>
  </r>
  <r>
    <s v="Puducherry"/>
    <x v="2"/>
    <d v="2019-10-13T00:00:00"/>
    <x v="0"/>
    <x v="0"/>
    <n v="2.8000491999999998E-2"/>
    <s v="IMD GRID MODEL"/>
  </r>
  <r>
    <s v="Puducherry"/>
    <x v="2"/>
    <d v="2019-10-14T00:00:00"/>
    <x v="0"/>
    <x v="0"/>
    <n v="1.45665136"/>
    <s v="IMD GRID MODEL"/>
  </r>
  <r>
    <s v="Puducherry"/>
    <x v="2"/>
    <d v="2019-10-17T00:00:00"/>
    <x v="0"/>
    <x v="0"/>
    <n v="42.622583740000003"/>
    <s v="IMD GRID MODEL"/>
  </r>
  <r>
    <s v="Puducherry"/>
    <x v="2"/>
    <d v="2019-10-24T00:00:00"/>
    <x v="0"/>
    <x v="0"/>
    <n v="21.04420142"/>
    <s v="IMD GRID MODEL"/>
  </r>
  <r>
    <s v="Puducherry"/>
    <x v="2"/>
    <d v="2019-10-23T00:00:00"/>
    <x v="0"/>
    <x v="0"/>
    <n v="0.53352147400000005"/>
    <s v="IMD GRID MODEL"/>
  </r>
  <r>
    <s v="Puducherry"/>
    <x v="2"/>
    <d v="2019-10-27T00:00:00"/>
    <x v="0"/>
    <x v="0"/>
    <n v="0.67034439400000001"/>
    <s v="IMD GRID MODEL"/>
  </r>
  <r>
    <s v="Puducherry"/>
    <x v="2"/>
    <d v="2019-11-01T00:00:00"/>
    <x v="0"/>
    <x v="1"/>
    <n v="1.8222590009999999"/>
    <s v="IMD GRID MODEL"/>
  </r>
  <r>
    <s v="Puducherry"/>
    <x v="2"/>
    <d v="2019-11-04T00:00:00"/>
    <x v="0"/>
    <x v="1"/>
    <n v="0.20972518900000001"/>
    <s v="IMD GRID MODEL"/>
  </r>
  <r>
    <s v="Puducherry"/>
    <x v="2"/>
    <d v="2019-11-11T00:00:00"/>
    <x v="0"/>
    <x v="1"/>
    <n v="0"/>
    <s v="IMD GRID MODEL"/>
  </r>
  <r>
    <s v="Puducherry"/>
    <x v="2"/>
    <d v="2019-11-12T00:00:00"/>
    <x v="0"/>
    <x v="1"/>
    <n v="0.56945596399999998"/>
    <s v="IMD GRID MODEL"/>
  </r>
  <r>
    <s v="Puducherry"/>
    <x v="2"/>
    <d v="2019-11-19T00:00:00"/>
    <x v="0"/>
    <x v="1"/>
    <n v="10.34708833"/>
    <s v="IMD GRID MODEL"/>
  </r>
  <r>
    <s v="Puducherry"/>
    <x v="2"/>
    <d v="2019-11-22T00:00:00"/>
    <x v="0"/>
    <x v="1"/>
    <n v="26.459544489999999"/>
    <s v="IMD GRID MODEL"/>
  </r>
  <r>
    <s v="Puducherry"/>
    <x v="2"/>
    <d v="2019-11-24T00:00:00"/>
    <x v="0"/>
    <x v="1"/>
    <n v="54.617709560000002"/>
    <s v="IMD GRID MODEL"/>
  </r>
  <r>
    <s v="Puducherry"/>
    <x v="2"/>
    <d v="2019-12-08T00:00:00"/>
    <x v="0"/>
    <x v="2"/>
    <n v="20.90471934"/>
    <s v="IMD GRID MODEL"/>
  </r>
  <r>
    <s v="Puducherry"/>
    <x v="2"/>
    <d v="2019-12-09T00:00:00"/>
    <x v="0"/>
    <x v="2"/>
    <n v="0"/>
    <s v="IMD GRID MODEL"/>
  </r>
  <r>
    <s v="Puducherry"/>
    <x v="2"/>
    <d v="2019-12-14T00:00:00"/>
    <x v="0"/>
    <x v="2"/>
    <n v="36.936681380000003"/>
    <s v="IMD GRID MODEL"/>
  </r>
  <r>
    <s v="Puducherry"/>
    <x v="2"/>
    <d v="2019-12-24T00:00:00"/>
    <x v="0"/>
    <x v="2"/>
    <n v="0"/>
    <s v="IMD GRID MODEL"/>
  </r>
  <r>
    <s v="Puducherry"/>
    <x v="2"/>
    <d v="2019-12-31T00:00:00"/>
    <x v="0"/>
    <x v="2"/>
    <n v="8.3363185790000003"/>
    <s v="IMD GRID MODEL"/>
  </r>
  <r>
    <s v="Puducherry"/>
    <x v="2"/>
    <d v="2019-12-30T00:00:00"/>
    <x v="0"/>
    <x v="2"/>
    <n v="1.776880561"/>
    <s v="IMD GRID MODEL"/>
  </r>
  <r>
    <s v="Puducherry"/>
    <x v="3"/>
    <d v="2019-01-03T00:00:00"/>
    <x v="0"/>
    <x v="7"/>
    <n v="0"/>
    <s v="IMD GRID MODEL"/>
  </r>
  <r>
    <s v="Puducherry"/>
    <x v="3"/>
    <d v="2019-01-14T00:00:00"/>
    <x v="0"/>
    <x v="7"/>
    <n v="0"/>
    <s v="IMD GRID MODEL"/>
  </r>
  <r>
    <s v="Puducherry"/>
    <x v="3"/>
    <d v="2019-01-15T00:00:00"/>
    <x v="0"/>
    <x v="7"/>
    <n v="0"/>
    <s v="IMD GRID MODEL"/>
  </r>
  <r>
    <s v="Puducherry"/>
    <x v="3"/>
    <d v="2019-01-16T00:00:00"/>
    <x v="0"/>
    <x v="7"/>
    <n v="0"/>
    <s v="IMD GRID MODEL"/>
  </r>
  <r>
    <s v="Puducherry"/>
    <x v="3"/>
    <d v="2019-01-20T00:00:00"/>
    <x v="0"/>
    <x v="7"/>
    <n v="0"/>
    <s v="IMD GRID MODEL"/>
  </r>
  <r>
    <s v="Puducherry"/>
    <x v="3"/>
    <d v="2019-01-24T00:00:00"/>
    <x v="0"/>
    <x v="7"/>
    <n v="0"/>
    <s v="IMD GRID MODEL"/>
  </r>
  <r>
    <s v="Puducherry"/>
    <x v="3"/>
    <d v="2019-01-27T00:00:00"/>
    <x v="0"/>
    <x v="7"/>
    <n v="0"/>
    <s v="IMD GRID MODEL"/>
  </r>
  <r>
    <s v="Puducherry"/>
    <x v="3"/>
    <d v="2019-01-28T00:00:00"/>
    <x v="0"/>
    <x v="7"/>
    <n v="0"/>
    <s v="IMD GRID MODEL"/>
  </r>
  <r>
    <s v="Puducherry"/>
    <x v="3"/>
    <d v="2019-02-01T00:00:00"/>
    <x v="0"/>
    <x v="8"/>
    <n v="0"/>
    <s v="IMD GRID MODEL"/>
  </r>
  <r>
    <s v="Puducherry"/>
    <x v="3"/>
    <d v="2019-02-03T00:00:00"/>
    <x v="0"/>
    <x v="8"/>
    <n v="0"/>
    <s v="IMD GRID MODEL"/>
  </r>
  <r>
    <s v="Puducherry"/>
    <x v="3"/>
    <d v="2019-02-08T00:00:00"/>
    <x v="0"/>
    <x v="8"/>
    <n v="0"/>
    <s v="IMD GRID MODEL"/>
  </r>
  <r>
    <s v="Puducherry"/>
    <x v="3"/>
    <d v="2019-02-16T00:00:00"/>
    <x v="0"/>
    <x v="8"/>
    <n v="0"/>
    <s v="IMD GRID MODEL"/>
  </r>
  <r>
    <s v="Puducherry"/>
    <x v="3"/>
    <d v="2019-02-18T00:00:00"/>
    <x v="0"/>
    <x v="8"/>
    <n v="0"/>
    <s v="IMD GRID MODEL"/>
  </r>
  <r>
    <s v="Puducherry"/>
    <x v="3"/>
    <d v="2019-02-23T00:00:00"/>
    <x v="0"/>
    <x v="8"/>
    <n v="0"/>
    <s v="IMD GRID MODEL"/>
  </r>
  <r>
    <s v="Puducherry"/>
    <x v="3"/>
    <d v="2019-02-24T00:00:00"/>
    <x v="0"/>
    <x v="8"/>
    <n v="0"/>
    <s v="IMD GRID MODEL"/>
  </r>
  <r>
    <s v="Puducherry"/>
    <x v="3"/>
    <d v="2019-02-28T00:00:00"/>
    <x v="0"/>
    <x v="8"/>
    <n v="0"/>
    <s v="IMD GRID MODEL"/>
  </r>
  <r>
    <s v="Puducherry"/>
    <x v="3"/>
    <d v="2019-02-26T00:00:00"/>
    <x v="0"/>
    <x v="8"/>
    <n v="0"/>
    <s v="IMD GRID MODEL"/>
  </r>
  <r>
    <s v="Puducherry"/>
    <x v="3"/>
    <d v="2019-03-12T00:00:00"/>
    <x v="0"/>
    <x v="3"/>
    <n v="0"/>
    <s v="IMD GRID MODEL"/>
  </r>
  <r>
    <s v="Puducherry"/>
    <x v="3"/>
    <d v="2019-03-19T00:00:00"/>
    <x v="0"/>
    <x v="3"/>
    <n v="0"/>
    <s v="IMD GRID MODEL"/>
  </r>
  <r>
    <s v="Puducherry"/>
    <x v="3"/>
    <d v="2019-03-27T00:00:00"/>
    <x v="0"/>
    <x v="3"/>
    <n v="0"/>
    <s v="IMD GRID MODEL"/>
  </r>
  <r>
    <s v="Puducherry"/>
    <x v="3"/>
    <d v="2019-04-02T00:00:00"/>
    <x v="0"/>
    <x v="9"/>
    <n v="0"/>
    <s v="IMD GRID MODEL"/>
  </r>
  <r>
    <s v="Puducherry"/>
    <x v="3"/>
    <d v="2019-04-03T00:00:00"/>
    <x v="0"/>
    <x v="9"/>
    <n v="0"/>
    <s v="IMD GRID MODEL"/>
  </r>
  <r>
    <s v="Puducherry"/>
    <x v="3"/>
    <d v="2019-04-04T00:00:00"/>
    <x v="0"/>
    <x v="9"/>
    <n v="0"/>
    <s v="IMD GRID MODEL"/>
  </r>
  <r>
    <s v="Puducherry"/>
    <x v="3"/>
    <d v="2019-04-09T00:00:00"/>
    <x v="0"/>
    <x v="9"/>
    <n v="0"/>
    <s v="IMD GRID MODEL"/>
  </r>
  <r>
    <s v="Puducherry"/>
    <x v="3"/>
    <d v="2019-05-04T00:00:00"/>
    <x v="0"/>
    <x v="10"/>
    <n v="0"/>
    <s v="IMD GRID MODEL"/>
  </r>
  <r>
    <s v="Puducherry"/>
    <x v="3"/>
    <d v="2019-05-06T00:00:00"/>
    <x v="0"/>
    <x v="10"/>
    <n v="0"/>
    <s v="IMD GRID MODEL"/>
  </r>
  <r>
    <s v="Puducherry"/>
    <x v="3"/>
    <d v="2019-05-08T00:00:00"/>
    <x v="0"/>
    <x v="10"/>
    <n v="0"/>
    <s v="IMD GRID MODEL"/>
  </r>
  <r>
    <s v="Puducherry"/>
    <x v="3"/>
    <d v="2019-05-09T00:00:00"/>
    <x v="0"/>
    <x v="10"/>
    <n v="0"/>
    <s v="IMD GRID MODEL"/>
  </r>
  <r>
    <s v="Puducherry"/>
    <x v="3"/>
    <d v="2019-05-10T00:00:00"/>
    <x v="0"/>
    <x v="10"/>
    <n v="0"/>
    <s v="IMD GRID MODEL"/>
  </r>
  <r>
    <s v="Puducherry"/>
    <x v="1"/>
    <d v="2019-11-02T00:00:00"/>
    <x v="0"/>
    <x v="1"/>
    <n v="4.1441493029999998"/>
    <s v="IMD GRID MODEL"/>
  </r>
  <r>
    <s v="Puducherry"/>
    <x v="1"/>
    <d v="2019-11-06T00:00:00"/>
    <x v="0"/>
    <x v="1"/>
    <n v="0"/>
    <s v="IMD GRID MODEL"/>
  </r>
  <r>
    <s v="Puducherry"/>
    <x v="1"/>
    <d v="2019-11-07T00:00:00"/>
    <x v="0"/>
    <x v="1"/>
    <n v="0"/>
    <s v="IMD GRID MODEL"/>
  </r>
  <r>
    <s v="Puducherry"/>
    <x v="1"/>
    <d v="2019-11-09T00:00:00"/>
    <x v="0"/>
    <x v="1"/>
    <n v="0"/>
    <s v="IMD GRID MODEL"/>
  </r>
  <r>
    <s v="Puducherry"/>
    <x v="1"/>
    <d v="2019-11-12T00:00:00"/>
    <x v="0"/>
    <x v="1"/>
    <n v="0"/>
    <s v="IMD GRID MODEL"/>
  </r>
  <r>
    <s v="Puducherry"/>
    <x v="1"/>
    <d v="2019-11-13T00:00:00"/>
    <x v="0"/>
    <x v="1"/>
    <n v="0"/>
    <s v="IMD GRID MODEL"/>
  </r>
  <r>
    <s v="Puducherry"/>
    <x v="1"/>
    <d v="2019-11-22T00:00:00"/>
    <x v="0"/>
    <x v="1"/>
    <n v="0"/>
    <s v="IMD GRID MODEL"/>
  </r>
  <r>
    <s v="Puducherry"/>
    <x v="1"/>
    <d v="2019-11-25T00:00:00"/>
    <x v="0"/>
    <x v="1"/>
    <n v="0"/>
    <s v="IMD GRID MODEL"/>
  </r>
  <r>
    <s v="Puducherry"/>
    <x v="1"/>
    <d v="2019-11-26T00:00:00"/>
    <x v="0"/>
    <x v="1"/>
    <n v="0"/>
    <s v="IMD GRID MODEL"/>
  </r>
  <r>
    <s v="Puducherry"/>
    <x v="1"/>
    <d v="2019-11-28T00:00:00"/>
    <x v="0"/>
    <x v="1"/>
    <n v="0"/>
    <s v="IMD GRID MODEL"/>
  </r>
  <r>
    <s v="Puducherry"/>
    <x v="1"/>
    <d v="2019-12-03T00:00:00"/>
    <x v="0"/>
    <x v="2"/>
    <n v="0"/>
    <s v="IMD GRID MODEL"/>
  </r>
  <r>
    <s v="Puducherry"/>
    <x v="1"/>
    <d v="2019-12-05T00:00:00"/>
    <x v="0"/>
    <x v="2"/>
    <n v="0"/>
    <s v="IMD GRID MODEL"/>
  </r>
  <r>
    <s v="Puducherry"/>
    <x v="1"/>
    <d v="2019-12-11T00:00:00"/>
    <x v="0"/>
    <x v="2"/>
    <n v="0"/>
    <s v="IMD GRID MODEL"/>
  </r>
  <r>
    <s v="Puducherry"/>
    <x v="1"/>
    <d v="2019-12-14T00:00:00"/>
    <x v="0"/>
    <x v="2"/>
    <n v="0"/>
    <s v="IMD GRID MODEL"/>
  </r>
  <r>
    <s v="Puducherry"/>
    <x v="1"/>
    <d v="2019-12-23T00:00:00"/>
    <x v="0"/>
    <x v="2"/>
    <n v="0"/>
    <s v="IMD GRID MODEL"/>
  </r>
  <r>
    <s v="Puducherry"/>
    <x v="1"/>
    <d v="2019-12-24T00:00:00"/>
    <x v="0"/>
    <x v="2"/>
    <n v="0"/>
    <s v="IMD GRID MODEL"/>
  </r>
  <r>
    <s v="Puducherry"/>
    <x v="1"/>
    <d v="2019-12-26T00:00:00"/>
    <x v="0"/>
    <x v="2"/>
    <n v="0"/>
    <s v="IMD GRID MODEL"/>
  </r>
  <r>
    <s v="Puducherry"/>
    <x v="1"/>
    <d v="2019-12-30T00:00:00"/>
    <x v="0"/>
    <x v="2"/>
    <n v="0"/>
    <s v="IMD GRID MODEL"/>
  </r>
  <r>
    <s v="Puducherry"/>
    <x v="3"/>
    <d v="2019-05-12T00:00:00"/>
    <x v="0"/>
    <x v="10"/>
    <n v="0"/>
    <s v="IMD GRID MODEL"/>
  </r>
  <r>
    <s v="Puducherry"/>
    <x v="3"/>
    <d v="2019-05-14T00:00:00"/>
    <x v="0"/>
    <x v="10"/>
    <n v="0"/>
    <s v="IMD GRID MODEL"/>
  </r>
  <r>
    <s v="Puducherry"/>
    <x v="3"/>
    <d v="2019-05-20T00:00:00"/>
    <x v="0"/>
    <x v="10"/>
    <n v="0"/>
    <s v="IMD GRID MODEL"/>
  </r>
  <r>
    <s v="Puducherry"/>
    <x v="3"/>
    <d v="2019-05-22T00:00:00"/>
    <x v="0"/>
    <x v="10"/>
    <n v="0"/>
    <s v="IMD GRID MODEL"/>
  </r>
  <r>
    <s v="Puducherry"/>
    <x v="3"/>
    <d v="2019-06-01T00:00:00"/>
    <x v="0"/>
    <x v="4"/>
    <n v="16.846754069999999"/>
    <s v="IMD GRID MODEL"/>
  </r>
  <r>
    <s v="Puducherry"/>
    <x v="3"/>
    <d v="2019-06-02T00:00:00"/>
    <x v="0"/>
    <x v="4"/>
    <n v="13.827850339999999"/>
    <s v="IMD GRID MODEL"/>
  </r>
  <r>
    <s v="Puducherry"/>
    <x v="3"/>
    <d v="2019-06-06T00:00:00"/>
    <x v="0"/>
    <x v="4"/>
    <n v="44.148200989999999"/>
    <s v="IMD GRID MODEL"/>
  </r>
  <r>
    <s v="Puducherry"/>
    <x v="3"/>
    <d v="2019-06-15T00:00:00"/>
    <x v="0"/>
    <x v="4"/>
    <n v="35.803829190000002"/>
    <s v="IMD GRID MODEL"/>
  </r>
  <r>
    <s v="Puducherry"/>
    <x v="3"/>
    <d v="2019-07-06T00:00:00"/>
    <x v="0"/>
    <x v="11"/>
    <n v="61.756500240000001"/>
    <s v="IMD GRID MODEL"/>
  </r>
  <r>
    <s v="Puducherry"/>
    <x v="3"/>
    <d v="2019-07-14T00:00:00"/>
    <x v="0"/>
    <x v="11"/>
    <n v="6.3353929520000003"/>
    <s v="IMD GRID MODEL"/>
  </r>
  <r>
    <s v="Puducherry"/>
    <x v="3"/>
    <d v="2019-07-19T00:00:00"/>
    <x v="0"/>
    <x v="11"/>
    <n v="67.073036189999996"/>
    <s v="IMD GRID MODEL"/>
  </r>
  <r>
    <s v="Puducherry"/>
    <x v="3"/>
    <d v="2019-07-27T00:00:00"/>
    <x v="0"/>
    <x v="11"/>
    <n v="3.5151724820000001"/>
    <s v="IMD GRID MODEL"/>
  </r>
  <r>
    <s v="Puducherry"/>
    <x v="3"/>
    <d v="2019-07-29T00:00:00"/>
    <x v="0"/>
    <x v="11"/>
    <n v="25.57122421"/>
    <s v="IMD GRID MODEL"/>
  </r>
  <r>
    <s v="Puducherry"/>
    <x v="3"/>
    <d v="2019-08-01T00:00:00"/>
    <x v="0"/>
    <x v="5"/>
    <n v="6.8047018049999997"/>
    <s v="IMD GRID MODEL"/>
  </r>
  <r>
    <s v="Puducherry"/>
    <x v="3"/>
    <d v="2019-08-04T00:00:00"/>
    <x v="0"/>
    <x v="5"/>
    <n v="7.1678438189999998"/>
    <s v="IMD GRID MODEL"/>
  </r>
  <r>
    <s v="Puducherry"/>
    <x v="3"/>
    <d v="2019-08-05T00:00:00"/>
    <x v="0"/>
    <x v="5"/>
    <n v="38.598526"/>
    <s v="IMD GRID MODEL"/>
  </r>
  <r>
    <s v="Puducherry"/>
    <x v="3"/>
    <d v="2019-08-21T00:00:00"/>
    <x v="0"/>
    <x v="5"/>
    <n v="12.347963330000001"/>
    <s v="IMD GRID MODEL"/>
  </r>
  <r>
    <s v="Puducherry"/>
    <x v="3"/>
    <d v="2019-08-24T00:00:00"/>
    <x v="0"/>
    <x v="5"/>
    <n v="34.225437159999998"/>
    <s v="IMD GRID MODEL"/>
  </r>
  <r>
    <s v="Puducherry"/>
    <x v="3"/>
    <d v="2019-08-28T00:00:00"/>
    <x v="0"/>
    <x v="5"/>
    <n v="35.411769870000001"/>
    <s v="IMD GRID MODEL"/>
  </r>
  <r>
    <s v="Puducherry"/>
    <x v="3"/>
    <d v="2019-09-07T00:00:00"/>
    <x v="0"/>
    <x v="6"/>
    <n v="13.9815836"/>
    <s v="IMD GRID MODEL"/>
  </r>
  <r>
    <s v="Puducherry"/>
    <x v="3"/>
    <d v="2019-09-08T00:00:00"/>
    <x v="0"/>
    <x v="6"/>
    <n v="17.877613069999999"/>
    <s v="IMD GRID MODEL"/>
  </r>
  <r>
    <s v="Puducherry"/>
    <x v="3"/>
    <d v="2019-09-13T00:00:00"/>
    <x v="0"/>
    <x v="6"/>
    <n v="25.613695140000001"/>
    <s v="IMD GRID MODEL"/>
  </r>
  <r>
    <s v="Puducherry"/>
    <x v="3"/>
    <d v="2019-09-14T00:00:00"/>
    <x v="0"/>
    <x v="6"/>
    <n v="2.337379694"/>
    <s v="IMD GRID MODEL"/>
  </r>
  <r>
    <s v="Puducherry"/>
    <x v="3"/>
    <d v="2019-09-28T00:00:00"/>
    <x v="0"/>
    <x v="6"/>
    <n v="0"/>
    <s v="IMD GRID MODEL"/>
  </r>
  <r>
    <s v="Puducherry"/>
    <x v="3"/>
    <d v="2019-10-04T00:00:00"/>
    <x v="0"/>
    <x v="0"/>
    <n v="33.03607178"/>
    <s v="IMD GRID MODEL"/>
  </r>
  <r>
    <s v="Puducherry"/>
    <x v="3"/>
    <d v="2019-10-21T00:00:00"/>
    <x v="0"/>
    <x v="0"/>
    <n v="19.464139939999999"/>
    <s v="IMD GRID MODEL"/>
  </r>
  <r>
    <s v="Puducherry"/>
    <x v="3"/>
    <d v="2019-10-31T00:00:00"/>
    <x v="0"/>
    <x v="0"/>
    <n v="10.869875909999999"/>
    <s v="IMD GRID MODEL"/>
  </r>
  <r>
    <s v="Puducherry"/>
    <x v="3"/>
    <d v="2019-11-15T00:00:00"/>
    <x v="0"/>
    <x v="1"/>
    <n v="0"/>
    <s v="IMD GRID MODEL"/>
  </r>
  <r>
    <s v="Puducherry"/>
    <x v="3"/>
    <d v="2019-11-16T00:00:00"/>
    <x v="0"/>
    <x v="1"/>
    <n v="2.3430116179999998"/>
    <s v="IMD GRID MODEL"/>
  </r>
  <r>
    <s v="Puducherry"/>
    <x v="3"/>
    <d v="2019-11-20T00:00:00"/>
    <x v="0"/>
    <x v="1"/>
    <n v="0"/>
    <s v="IMD GRID MODEL"/>
  </r>
  <r>
    <s v="Puducherry"/>
    <x v="3"/>
    <d v="2019-11-22T00:00:00"/>
    <x v="0"/>
    <x v="1"/>
    <n v="7.6002788539999999"/>
    <s v="IMD GRID MODEL"/>
  </r>
  <r>
    <s v="Puducherry"/>
    <x v="3"/>
    <d v="2019-11-23T00:00:00"/>
    <x v="0"/>
    <x v="1"/>
    <n v="0"/>
    <s v="IMD GRID MODEL"/>
  </r>
  <r>
    <s v="Puducherry"/>
    <x v="3"/>
    <d v="2019-11-27T00:00:00"/>
    <x v="0"/>
    <x v="1"/>
    <n v="0"/>
    <s v="IMD GRID MODEL"/>
  </r>
  <r>
    <s v="Puducherry"/>
    <x v="3"/>
    <d v="2019-12-11T00:00:00"/>
    <x v="0"/>
    <x v="2"/>
    <n v="0"/>
    <s v="IMD GRID MODEL"/>
  </r>
  <r>
    <s v="Puducherry"/>
    <x v="3"/>
    <d v="2019-12-16T00:00:00"/>
    <x v="0"/>
    <x v="2"/>
    <n v="1.5055762530000001"/>
    <s v="IMD GRID MODEL"/>
  </r>
  <r>
    <s v="Puducherry"/>
    <x v="3"/>
    <d v="2019-12-17T00:00:00"/>
    <x v="0"/>
    <x v="2"/>
    <n v="0"/>
    <s v="IMD GRID MODEL"/>
  </r>
  <r>
    <s v="Puducherry"/>
    <x v="3"/>
    <d v="2019-12-19T00:00:00"/>
    <x v="0"/>
    <x v="2"/>
    <n v="0"/>
    <s v="IMD GRID MODEL"/>
  </r>
  <r>
    <s v="Puducherry"/>
    <x v="3"/>
    <d v="2019-12-23T00:00:00"/>
    <x v="0"/>
    <x v="2"/>
    <n v="0"/>
    <s v="IMD GRID MODEL"/>
  </r>
  <r>
    <s v="Puducherry"/>
    <x v="3"/>
    <d v="2019-12-27T00:00:00"/>
    <x v="0"/>
    <x v="2"/>
    <n v="0"/>
    <s v="IMD GRID MODEL"/>
  </r>
  <r>
    <s v="Puducherry"/>
    <x v="0"/>
    <d v="2019-01-02T00:00:00"/>
    <x v="0"/>
    <x v="7"/>
    <n v="0"/>
    <s v="IMD GRID MODEL"/>
  </r>
  <r>
    <s v="Puducherry"/>
    <x v="0"/>
    <d v="2019-01-11T00:00:00"/>
    <x v="0"/>
    <x v="7"/>
    <n v="0"/>
    <s v="IMD GRID MODEL"/>
  </r>
  <r>
    <s v="Puducherry"/>
    <x v="0"/>
    <d v="2019-01-17T00:00:00"/>
    <x v="0"/>
    <x v="7"/>
    <n v="0"/>
    <s v="IMD GRID MODEL"/>
  </r>
  <r>
    <s v="Puducherry"/>
    <x v="0"/>
    <d v="2019-01-31T00:00:00"/>
    <x v="0"/>
    <x v="7"/>
    <n v="0"/>
    <s v="IMD GRID MODEL"/>
  </r>
  <r>
    <s v="Puducherry"/>
    <x v="0"/>
    <d v="2019-02-07T00:00:00"/>
    <x v="0"/>
    <x v="8"/>
    <n v="0"/>
    <s v="IMD GRID MODEL"/>
  </r>
  <r>
    <s v="Puducherry"/>
    <x v="0"/>
    <d v="2019-02-12T00:00:00"/>
    <x v="0"/>
    <x v="8"/>
    <n v="0"/>
    <s v="IMD GRID MODEL"/>
  </r>
  <r>
    <s v="Puducherry"/>
    <x v="0"/>
    <d v="2019-02-23T00:00:00"/>
    <x v="0"/>
    <x v="8"/>
    <n v="0"/>
    <s v="IMD GRID MODEL"/>
  </r>
  <r>
    <s v="Puducherry"/>
    <x v="0"/>
    <d v="2019-03-08T00:00:00"/>
    <x v="0"/>
    <x v="3"/>
    <n v="0"/>
    <s v="IMD GRID MODEL"/>
  </r>
  <r>
    <s v="Puducherry"/>
    <x v="0"/>
    <d v="2019-03-12T00:00:00"/>
    <x v="0"/>
    <x v="3"/>
    <n v="0"/>
    <s v="IMD GRID MODEL"/>
  </r>
  <r>
    <s v="Puducherry"/>
    <x v="0"/>
    <d v="2019-03-21T00:00:00"/>
    <x v="0"/>
    <x v="3"/>
    <n v="0"/>
    <s v="IMD GRID MODEL"/>
  </r>
  <r>
    <s v="Puducherry"/>
    <x v="0"/>
    <d v="2019-03-22T00:00:00"/>
    <x v="0"/>
    <x v="3"/>
    <n v="0"/>
    <s v="IMD GRID MODEL"/>
  </r>
  <r>
    <s v="Puducherry"/>
    <x v="0"/>
    <d v="2019-03-27T00:00:00"/>
    <x v="0"/>
    <x v="3"/>
    <n v="0"/>
    <s v="IMD GRID MODEL"/>
  </r>
  <r>
    <s v="Puducherry"/>
    <x v="0"/>
    <d v="2019-03-29T00:00:00"/>
    <x v="0"/>
    <x v="3"/>
    <n v="0"/>
    <s v="IMD GRID MODEL"/>
  </r>
  <r>
    <s v="Puducherry"/>
    <x v="0"/>
    <d v="2019-04-02T00:00:00"/>
    <x v="0"/>
    <x v="9"/>
    <n v="0"/>
    <s v="IMD GRID MODEL"/>
  </r>
  <r>
    <s v="Puducherry"/>
    <x v="0"/>
    <d v="2019-04-05T00:00:00"/>
    <x v="0"/>
    <x v="9"/>
    <n v="0"/>
    <s v="IMD GRID MODEL"/>
  </r>
  <r>
    <s v="Puducherry"/>
    <x v="0"/>
    <d v="2019-04-12T00:00:00"/>
    <x v="0"/>
    <x v="9"/>
    <n v="0"/>
    <s v="IMD GRID MODEL"/>
  </r>
  <r>
    <s v="Puducherry"/>
    <x v="0"/>
    <d v="2019-04-14T00:00:00"/>
    <x v="0"/>
    <x v="9"/>
    <n v="0"/>
    <s v="IMD GRID MODEL"/>
  </r>
  <r>
    <s v="Puducherry"/>
    <x v="0"/>
    <d v="2019-04-16T00:00:00"/>
    <x v="0"/>
    <x v="9"/>
    <n v="0"/>
    <s v="IMD GRID MODEL"/>
  </r>
  <r>
    <s v="Puducherry"/>
    <x v="0"/>
    <d v="2019-04-18T00:00:00"/>
    <x v="0"/>
    <x v="9"/>
    <n v="0"/>
    <s v="IMD GRID MODEL"/>
  </r>
  <r>
    <s v="Puducherry"/>
    <x v="0"/>
    <d v="2019-04-20T00:00:00"/>
    <x v="0"/>
    <x v="9"/>
    <n v="0"/>
    <s v="IMD GRID MODEL"/>
  </r>
  <r>
    <s v="Puducherry"/>
    <x v="0"/>
    <d v="2019-04-21T00:00:00"/>
    <x v="0"/>
    <x v="9"/>
    <n v="0.22935670899999999"/>
    <s v="IMD GRID MODEL"/>
  </r>
  <r>
    <s v="Puducherry"/>
    <x v="0"/>
    <d v="2019-04-25T00:00:00"/>
    <x v="0"/>
    <x v="9"/>
    <n v="0"/>
    <s v="IMD GRID MODEL"/>
  </r>
  <r>
    <s v="Puducherry"/>
    <x v="0"/>
    <d v="2019-04-27T00:00:00"/>
    <x v="0"/>
    <x v="9"/>
    <n v="0"/>
    <s v="IMD GRID MODEL"/>
  </r>
  <r>
    <s v="Puducherry"/>
    <x v="0"/>
    <d v="2019-04-30T00:00:00"/>
    <x v="0"/>
    <x v="9"/>
    <n v="0"/>
    <s v="IMD GRID MODEL"/>
  </r>
  <r>
    <s v="Puducherry"/>
    <x v="0"/>
    <d v="2019-05-02T00:00:00"/>
    <x v="0"/>
    <x v="10"/>
    <n v="13.92292408"/>
    <s v="IMD GRID MODEL"/>
  </r>
  <r>
    <s v="Puducherry"/>
    <x v="0"/>
    <d v="2019-05-06T00:00:00"/>
    <x v="0"/>
    <x v="10"/>
    <n v="0"/>
    <s v="IMD GRID MODEL"/>
  </r>
  <r>
    <s v="Puducherry"/>
    <x v="0"/>
    <d v="2019-05-09T00:00:00"/>
    <x v="0"/>
    <x v="10"/>
    <n v="5.9523771000000003E-2"/>
    <s v="IMD GRID MODEL"/>
  </r>
  <r>
    <s v="Puducherry"/>
    <x v="0"/>
    <d v="2019-05-25T00:00:00"/>
    <x v="0"/>
    <x v="10"/>
    <n v="0"/>
    <s v="IMD GRID MODEL"/>
  </r>
  <r>
    <s v="Puducherry"/>
    <x v="0"/>
    <d v="2019-05-30T00:00:00"/>
    <x v="0"/>
    <x v="10"/>
    <n v="0"/>
    <s v="IMD GRID MODEL"/>
  </r>
  <r>
    <s v="Puducherry"/>
    <x v="0"/>
    <d v="2019-06-01T00:00:00"/>
    <x v="0"/>
    <x v="4"/>
    <n v="0"/>
    <s v="IMD GRID MODEL"/>
  </r>
  <r>
    <s v="Puducherry"/>
    <x v="0"/>
    <d v="2019-06-19T00:00:00"/>
    <x v="0"/>
    <x v="4"/>
    <n v="0"/>
    <s v="IMD GRID MODEL"/>
  </r>
  <r>
    <s v="Puducherry"/>
    <x v="0"/>
    <d v="2019-06-22T00:00:00"/>
    <x v="0"/>
    <x v="4"/>
    <n v="0"/>
    <s v="IMD GRID MODEL"/>
  </r>
  <r>
    <s v="Puducherry"/>
    <x v="0"/>
    <d v="2019-06-26T00:00:00"/>
    <x v="0"/>
    <x v="4"/>
    <n v="1.941025969"/>
    <s v="IMD GRID MODEL"/>
  </r>
  <r>
    <s v="Puducherry"/>
    <x v="0"/>
    <d v="2019-07-01T00:00:00"/>
    <x v="0"/>
    <x v="11"/>
    <n v="0"/>
    <s v="IMD GRID MODEL"/>
  </r>
  <r>
    <s v="Puducherry"/>
    <x v="0"/>
    <d v="2019-07-08T00:00:00"/>
    <x v="0"/>
    <x v="11"/>
    <n v="0"/>
    <s v="IMD GRID MODEL"/>
  </r>
  <r>
    <s v="Puducherry"/>
    <x v="0"/>
    <d v="2019-07-16T00:00:00"/>
    <x v="0"/>
    <x v="11"/>
    <n v="0"/>
    <s v="IMD GRID MODEL"/>
  </r>
  <r>
    <s v="Puducherry"/>
    <x v="0"/>
    <d v="2019-07-17T00:00:00"/>
    <x v="0"/>
    <x v="11"/>
    <n v="0"/>
    <s v="IMD GRID MODEL"/>
  </r>
  <r>
    <s v="Puducherry"/>
    <x v="0"/>
    <d v="2019-07-29T00:00:00"/>
    <x v="0"/>
    <x v="11"/>
    <n v="2.0788385229999999"/>
    <s v="IMD GRID MODEL"/>
  </r>
  <r>
    <s v="Puducherry"/>
    <x v="0"/>
    <d v="2019-08-06T00:00:00"/>
    <x v="0"/>
    <x v="5"/>
    <n v="3.3243750529999998"/>
    <s v="IMD GRID MODEL"/>
  </r>
  <r>
    <s v="Puducherry"/>
    <x v="0"/>
    <d v="2019-08-07T00:00:00"/>
    <x v="0"/>
    <x v="5"/>
    <n v="0"/>
    <s v="IMD GRID MODEL"/>
  </r>
  <r>
    <s v="Puducherry"/>
    <x v="0"/>
    <d v="2019-08-08T00:00:00"/>
    <x v="0"/>
    <x v="5"/>
    <n v="0.98780451599999997"/>
    <s v="IMD GRID MODEL"/>
  </r>
  <r>
    <s v="Puducherry"/>
    <x v="0"/>
    <d v="2019-08-13T00:00:00"/>
    <x v="0"/>
    <x v="5"/>
    <n v="0"/>
    <s v="IMD GRID MODEL"/>
  </r>
  <r>
    <s v="Puducherry"/>
    <x v="0"/>
    <d v="2019-08-15T00:00:00"/>
    <x v="0"/>
    <x v="5"/>
    <n v="1.387632325"/>
    <s v="IMD GRID MODEL"/>
  </r>
  <r>
    <s v="Puducherry"/>
    <x v="0"/>
    <d v="2019-08-17T00:00:00"/>
    <x v="0"/>
    <x v="5"/>
    <n v="47.535758430000001"/>
    <s v="IMD GRID MODEL"/>
  </r>
  <r>
    <s v="Puducherry"/>
    <x v="0"/>
    <d v="2019-08-19T00:00:00"/>
    <x v="0"/>
    <x v="5"/>
    <n v="12.19475192"/>
    <s v="IMD GRID MODEL"/>
  </r>
  <r>
    <s v="Puducherry"/>
    <x v="0"/>
    <d v="2019-08-26T00:00:00"/>
    <x v="0"/>
    <x v="5"/>
    <n v="0"/>
    <s v="IMD GRID MODEL"/>
  </r>
  <r>
    <s v="Puducherry"/>
    <x v="0"/>
    <d v="2019-08-29T00:00:00"/>
    <x v="0"/>
    <x v="5"/>
    <n v="0"/>
    <s v="IMD GRID MODEL"/>
  </r>
  <r>
    <s v="Puducherry"/>
    <x v="0"/>
    <d v="2019-09-02T00:00:00"/>
    <x v="0"/>
    <x v="6"/>
    <n v="0"/>
    <s v="IMD GRID MODEL"/>
  </r>
  <r>
    <s v="Puducherry"/>
    <x v="0"/>
    <d v="2019-09-05T00:00:00"/>
    <x v="0"/>
    <x v="6"/>
    <n v="10.751062810000001"/>
    <s v="IMD GRID MODEL"/>
  </r>
  <r>
    <s v="Puducherry"/>
    <x v="0"/>
    <d v="2019-09-19T00:00:00"/>
    <x v="0"/>
    <x v="6"/>
    <n v="0"/>
    <s v="IMD GRID MODEL"/>
  </r>
  <r>
    <s v="Puducherry"/>
    <x v="0"/>
    <d v="2019-09-20T00:00:00"/>
    <x v="0"/>
    <x v="6"/>
    <n v="0"/>
    <s v="IMD GRID MODEL"/>
  </r>
  <r>
    <s v="Puducherry"/>
    <x v="0"/>
    <d v="2019-09-29T00:00:00"/>
    <x v="0"/>
    <x v="6"/>
    <n v="1.7326804039999999"/>
    <s v="IMD GRID MODEL"/>
  </r>
  <r>
    <s v="Puducherry"/>
    <x v="0"/>
    <d v="2019-10-03T00:00:00"/>
    <x v="0"/>
    <x v="0"/>
    <n v="0"/>
    <s v="IMD GRID MODEL"/>
  </r>
  <r>
    <s v="Puducherry"/>
    <x v="0"/>
    <d v="2019-10-05T00:00:00"/>
    <x v="0"/>
    <x v="0"/>
    <n v="0"/>
    <s v="IMD GRID MODEL"/>
  </r>
  <r>
    <s v="Puducherry"/>
    <x v="0"/>
    <d v="2019-10-08T00:00:00"/>
    <x v="0"/>
    <x v="0"/>
    <n v="0"/>
    <s v="IMD GRID MODEL"/>
  </r>
  <r>
    <s v="Puducherry"/>
    <x v="0"/>
    <d v="2019-10-14T00:00:00"/>
    <x v="0"/>
    <x v="0"/>
    <n v="0"/>
    <s v="IMD GRID MODEL"/>
  </r>
  <r>
    <s v="Puducherry"/>
    <x v="0"/>
    <d v="2019-10-22T00:00:00"/>
    <x v="0"/>
    <x v="0"/>
    <n v="2.46588356"/>
    <s v="IMD GRID MODEL"/>
  </r>
  <r>
    <s v="Puducherry"/>
    <x v="0"/>
    <d v="2019-10-24T00:00:00"/>
    <x v="0"/>
    <x v="0"/>
    <n v="17.862553299999998"/>
    <s v="IMD GRID MODEL"/>
  </r>
  <r>
    <s v="Puducherry"/>
    <x v="0"/>
    <d v="2019-10-25T00:00:00"/>
    <x v="0"/>
    <x v="0"/>
    <n v="0"/>
    <s v="IMD GRID MODEL"/>
  </r>
  <r>
    <s v="Puducherry"/>
    <x v="0"/>
    <d v="2019-10-28T00:00:00"/>
    <x v="0"/>
    <x v="0"/>
    <n v="8.1344327389999993"/>
    <s v="IMD GRID MODEL"/>
  </r>
  <r>
    <s v="Puducherry"/>
    <x v="0"/>
    <d v="2019-10-31T00:00:00"/>
    <x v="0"/>
    <x v="0"/>
    <n v="41.826068640000003"/>
    <s v="IMD GRID MODEL"/>
  </r>
  <r>
    <s v="Puducherry"/>
    <x v="0"/>
    <d v="2019-11-19T00:00:00"/>
    <x v="0"/>
    <x v="1"/>
    <n v="9.885146142"/>
    <s v="IMD GRID MODEL"/>
  </r>
  <r>
    <s v="Puducherry"/>
    <x v="0"/>
    <d v="2019-12-03T00:00:00"/>
    <x v="0"/>
    <x v="2"/>
    <n v="15.908271239999999"/>
    <s v="IMD GRID MODEL"/>
  </r>
  <r>
    <s v="Puducherry"/>
    <x v="0"/>
    <d v="2019-12-07T00:00:00"/>
    <x v="0"/>
    <x v="2"/>
    <n v="0"/>
    <s v="IMD GRID MODEL"/>
  </r>
  <r>
    <s v="Puducherry"/>
    <x v="0"/>
    <d v="2019-12-09T00:00:00"/>
    <x v="0"/>
    <x v="2"/>
    <n v="0"/>
    <s v="IMD GRID MODEL"/>
  </r>
  <r>
    <s v="Puducherry"/>
    <x v="0"/>
    <d v="2019-12-15T00:00:00"/>
    <x v="0"/>
    <x v="2"/>
    <n v="6.2768600990000003"/>
    <s v="IMD GRID MODEL"/>
  </r>
  <r>
    <s v="Puducherry"/>
    <x v="0"/>
    <d v="2019-12-26T00:00:00"/>
    <x v="0"/>
    <x v="2"/>
    <n v="0.162071351"/>
    <s v="IMD GRID MODEL"/>
  </r>
  <r>
    <s v="Puducherry"/>
    <x v="0"/>
    <d v="2019-12-30T00:00:00"/>
    <x v="0"/>
    <x v="2"/>
    <n v="0"/>
    <s v="IMD GRID MODEL"/>
  </r>
  <r>
    <s v="Puducherry"/>
    <x v="0"/>
    <d v="2019-05-24T00:00:00"/>
    <x v="0"/>
    <x v="10"/>
    <n v="0"/>
    <s v="IMD GRID MODEL"/>
  </r>
  <r>
    <s v="Puducherry"/>
    <x v="0"/>
    <d v="2019-10-04T00:00:00"/>
    <x v="0"/>
    <x v="0"/>
    <n v="0"/>
    <s v="IMD GRID MODEL"/>
  </r>
  <r>
    <s v="Puducherry"/>
    <x v="1"/>
    <d v="2019-01-04T00:00:00"/>
    <x v="0"/>
    <x v="7"/>
    <n v="0"/>
    <s v="IMD GRID MODEL"/>
  </r>
  <r>
    <s v="Puducherry"/>
    <x v="1"/>
    <d v="2019-01-05T00:00:00"/>
    <x v="0"/>
    <x v="7"/>
    <n v="0"/>
    <s v="IMD GRID MODEL"/>
  </r>
  <r>
    <s v="Puducherry"/>
    <x v="1"/>
    <d v="2019-01-06T00:00:00"/>
    <x v="0"/>
    <x v="7"/>
    <n v="0"/>
    <s v="IMD GRID MODEL"/>
  </r>
  <r>
    <s v="Puducherry"/>
    <x v="1"/>
    <d v="2019-01-07T00:00:00"/>
    <x v="0"/>
    <x v="7"/>
    <n v="0"/>
    <s v="IMD GRID MODEL"/>
  </r>
  <r>
    <s v="Puducherry"/>
    <x v="1"/>
    <d v="2019-01-13T00:00:00"/>
    <x v="0"/>
    <x v="7"/>
    <n v="0"/>
    <s v="IMD GRID MODEL"/>
  </r>
  <r>
    <s v="Puducherry"/>
    <x v="1"/>
    <d v="2019-01-21T00:00:00"/>
    <x v="0"/>
    <x v="7"/>
    <n v="0"/>
    <s v="IMD GRID MODEL"/>
  </r>
  <r>
    <s v="Puducherry"/>
    <x v="1"/>
    <d v="2019-01-23T00:00:00"/>
    <x v="0"/>
    <x v="7"/>
    <n v="0"/>
    <s v="IMD GRID MODEL"/>
  </r>
  <r>
    <s v="Puducherry"/>
    <x v="1"/>
    <d v="2019-01-26T00:00:00"/>
    <x v="0"/>
    <x v="7"/>
    <n v="0"/>
    <s v="IMD GRID MODEL"/>
  </r>
  <r>
    <s v="Puducherry"/>
    <x v="1"/>
    <d v="2019-02-02T00:00:00"/>
    <x v="0"/>
    <x v="8"/>
    <n v="0"/>
    <s v="IMD GRID MODEL"/>
  </r>
  <r>
    <s v="Puducherry"/>
    <x v="1"/>
    <d v="2019-02-05T00:00:00"/>
    <x v="0"/>
    <x v="8"/>
    <n v="0"/>
    <s v="IMD GRID MODEL"/>
  </r>
  <r>
    <s v="Puducherry"/>
    <x v="1"/>
    <d v="2019-02-06T00:00:00"/>
    <x v="0"/>
    <x v="8"/>
    <n v="0"/>
    <s v="IMD GRID MODEL"/>
  </r>
  <r>
    <s v="Puducherry"/>
    <x v="1"/>
    <d v="2019-02-09T00:00:00"/>
    <x v="0"/>
    <x v="8"/>
    <n v="0"/>
    <s v="IMD GRID MODEL"/>
  </r>
  <r>
    <s v="Puducherry"/>
    <x v="1"/>
    <d v="2019-02-10T00:00:00"/>
    <x v="0"/>
    <x v="8"/>
    <n v="0"/>
    <s v="IMD GRID MODEL"/>
  </r>
  <r>
    <s v="Puducherry"/>
    <x v="1"/>
    <d v="2019-02-16T00:00:00"/>
    <x v="0"/>
    <x v="8"/>
    <n v="0"/>
    <s v="IMD GRID MODEL"/>
  </r>
  <r>
    <s v="Puducherry"/>
    <x v="1"/>
    <d v="2019-02-25T00:00:00"/>
    <x v="0"/>
    <x v="8"/>
    <n v="0"/>
    <s v="IMD GRID MODEL"/>
  </r>
  <r>
    <s v="Puducherry"/>
    <x v="1"/>
    <d v="2019-03-04T00:00:00"/>
    <x v="0"/>
    <x v="3"/>
    <n v="4.3192539219999997"/>
    <s v="IMD GRID MODEL"/>
  </r>
  <r>
    <s v="Puducherry"/>
    <x v="1"/>
    <d v="2019-03-06T00:00:00"/>
    <x v="0"/>
    <x v="3"/>
    <n v="0"/>
    <s v="IMD GRID MODEL"/>
  </r>
  <r>
    <s v="Puducherry"/>
    <x v="1"/>
    <d v="2019-03-07T00:00:00"/>
    <x v="0"/>
    <x v="3"/>
    <n v="0"/>
    <s v="IMD GRID MODEL"/>
  </r>
  <r>
    <s v="Puducherry"/>
    <x v="1"/>
    <d v="2019-03-09T00:00:00"/>
    <x v="0"/>
    <x v="3"/>
    <n v="0.20798027499999999"/>
    <s v="IMD GRID MODEL"/>
  </r>
  <r>
    <s v="Puducherry"/>
    <x v="1"/>
    <d v="2019-03-27T00:00:00"/>
    <x v="0"/>
    <x v="3"/>
    <n v="0"/>
    <s v="IMD GRID MODEL"/>
  </r>
  <r>
    <s v="Puducherry"/>
    <x v="1"/>
    <d v="2019-03-29T00:00:00"/>
    <x v="0"/>
    <x v="3"/>
    <n v="0"/>
    <s v="IMD GRID MODEL"/>
  </r>
  <r>
    <s v="Puducherry"/>
    <x v="1"/>
    <d v="2019-03-30T00:00:00"/>
    <x v="0"/>
    <x v="3"/>
    <n v="0"/>
    <s v="IMD GRID MODEL"/>
  </r>
  <r>
    <s v="Puducherry"/>
    <x v="1"/>
    <d v="2019-04-05T00:00:00"/>
    <x v="0"/>
    <x v="9"/>
    <n v="0"/>
    <s v="IMD GRID MODEL"/>
  </r>
  <r>
    <s v="Puducherry"/>
    <x v="1"/>
    <d v="2019-04-09T00:00:00"/>
    <x v="0"/>
    <x v="9"/>
    <n v="0"/>
    <s v="IMD GRID MODEL"/>
  </r>
  <r>
    <s v="Puducherry"/>
    <x v="1"/>
    <d v="2019-04-20T00:00:00"/>
    <x v="0"/>
    <x v="9"/>
    <n v="0"/>
    <s v="IMD GRID MODEL"/>
  </r>
  <r>
    <s v="Puducherry"/>
    <x v="1"/>
    <d v="2019-04-27T00:00:00"/>
    <x v="0"/>
    <x v="9"/>
    <n v="1.9845222229999999"/>
    <s v="IMD GRID MODEL"/>
  </r>
  <r>
    <s v="Puducherry"/>
    <x v="1"/>
    <d v="2019-04-29T00:00:00"/>
    <x v="0"/>
    <x v="9"/>
    <n v="0"/>
    <s v="IMD GRID MODEL"/>
  </r>
  <r>
    <s v="Puducherry"/>
    <x v="1"/>
    <d v="2019-05-05T00:00:00"/>
    <x v="0"/>
    <x v="10"/>
    <n v="0"/>
    <s v="IMD GRID MODEL"/>
  </r>
  <r>
    <s v="Puducherry"/>
    <x v="1"/>
    <d v="2019-05-21T00:00:00"/>
    <x v="0"/>
    <x v="10"/>
    <n v="0"/>
    <s v="IMD GRID MODEL"/>
  </r>
  <r>
    <s v="Puducherry"/>
    <x v="1"/>
    <d v="2019-06-03T00:00:00"/>
    <x v="0"/>
    <x v="4"/>
    <n v="0"/>
    <s v="IMD GRID MODEL"/>
  </r>
  <r>
    <s v="Puducherry"/>
    <x v="1"/>
    <d v="2019-06-04T00:00:00"/>
    <x v="0"/>
    <x v="4"/>
    <n v="7.7177491189999996"/>
    <s v="IMD GRID MODEL"/>
  </r>
  <r>
    <s v="Puducherry"/>
    <x v="1"/>
    <d v="2019-06-09T00:00:00"/>
    <x v="0"/>
    <x v="4"/>
    <n v="0"/>
    <s v="IMD GRID MODEL"/>
  </r>
  <r>
    <s v="Puducherry"/>
    <x v="1"/>
    <d v="2019-06-12T00:00:00"/>
    <x v="0"/>
    <x v="4"/>
    <n v="0"/>
    <s v="IMD GRID MODEL"/>
  </r>
  <r>
    <s v="Puducherry"/>
    <x v="1"/>
    <d v="2019-06-13T00:00:00"/>
    <x v="0"/>
    <x v="4"/>
    <n v="0"/>
    <s v="IMD GRID MODEL"/>
  </r>
  <r>
    <s v="Puducherry"/>
    <x v="1"/>
    <d v="2019-06-17T00:00:00"/>
    <x v="0"/>
    <x v="4"/>
    <n v="0.46694639300000002"/>
    <s v="IMD GRID MODEL"/>
  </r>
  <r>
    <s v="Puducherry"/>
    <x v="1"/>
    <d v="2019-06-18T00:00:00"/>
    <x v="0"/>
    <x v="4"/>
    <n v="8.8585004810000001"/>
    <s v="IMD GRID MODEL"/>
  </r>
  <r>
    <s v="Puducherry"/>
    <x v="1"/>
    <d v="2019-06-21T00:00:00"/>
    <x v="0"/>
    <x v="4"/>
    <n v="5.8396210670000004"/>
    <s v="IMD GRID MODEL"/>
  </r>
  <r>
    <s v="Puducherry"/>
    <x v="1"/>
    <d v="2019-06-22T00:00:00"/>
    <x v="0"/>
    <x v="4"/>
    <n v="6.0753636359999996"/>
    <s v="IMD GRID MODEL"/>
  </r>
  <r>
    <s v="Puducherry"/>
    <x v="1"/>
    <d v="2019-06-27T00:00:00"/>
    <x v="0"/>
    <x v="4"/>
    <n v="7.8213515280000001"/>
    <s v="IMD GRID MODEL"/>
  </r>
  <r>
    <s v="Puducherry"/>
    <x v="1"/>
    <d v="2019-07-17T00:00:00"/>
    <x v="0"/>
    <x v="11"/>
    <n v="0"/>
    <s v="IMD GRID MODEL"/>
  </r>
  <r>
    <s v="Puducherry"/>
    <x v="1"/>
    <d v="2019-07-21T00:00:00"/>
    <x v="0"/>
    <x v="11"/>
    <n v="1.0180606839999999"/>
    <s v="IMD GRID MODEL"/>
  </r>
  <r>
    <s v="Puducherry"/>
    <x v="1"/>
    <d v="2019-07-29T00:00:00"/>
    <x v="0"/>
    <x v="11"/>
    <n v="19.931537630000001"/>
    <s v="IMD GRID MODEL"/>
  </r>
  <r>
    <s v="Puducherry"/>
    <x v="1"/>
    <d v="2019-08-01T00:00:00"/>
    <x v="0"/>
    <x v="5"/>
    <n v="3.62544179"/>
    <s v="IMD GRID MODEL"/>
  </r>
  <r>
    <s v="Puducherry"/>
    <x v="1"/>
    <d v="2019-08-15T00:00:00"/>
    <x v="0"/>
    <x v="5"/>
    <n v="2.5564680100000001"/>
    <s v="IMD GRID MODEL"/>
  </r>
  <r>
    <s v="Puducherry"/>
    <x v="1"/>
    <d v="2019-08-20T00:00:00"/>
    <x v="0"/>
    <x v="5"/>
    <n v="5.4142313"/>
    <s v="IMD GRID MODEL"/>
  </r>
  <r>
    <s v="Puducherry"/>
    <x v="1"/>
    <d v="2019-09-02T00:00:00"/>
    <x v="0"/>
    <x v="6"/>
    <n v="13.592295650000001"/>
    <s v="IMD GRID MODEL"/>
  </r>
  <r>
    <s v="Puducherry"/>
    <x v="1"/>
    <d v="2019-09-07T00:00:00"/>
    <x v="0"/>
    <x v="6"/>
    <n v="6.6840376849999998"/>
    <s v="IMD GRID MODEL"/>
  </r>
  <r>
    <s v="Puducherry"/>
    <x v="1"/>
    <d v="2019-09-15T00:00:00"/>
    <x v="0"/>
    <x v="6"/>
    <n v="3.5604660510000001"/>
    <s v="IMD GRID MODEL"/>
  </r>
  <r>
    <s v="Puducherry"/>
    <x v="1"/>
    <d v="2019-09-16T00:00:00"/>
    <x v="0"/>
    <x v="6"/>
    <n v="0.817156196"/>
    <s v="IMD GRID MODEL"/>
  </r>
  <r>
    <s v="Puducherry"/>
    <x v="1"/>
    <d v="2019-09-17T00:00:00"/>
    <x v="0"/>
    <x v="6"/>
    <n v="4.696566582"/>
    <s v="IMD GRID MODEL"/>
  </r>
  <r>
    <s v="Puducherry"/>
    <x v="1"/>
    <d v="2019-09-19T00:00:00"/>
    <x v="0"/>
    <x v="6"/>
    <n v="7.3543138499999996"/>
    <s v="IMD GRID MODEL"/>
  </r>
  <r>
    <s v="Puducherry"/>
    <x v="1"/>
    <d v="2019-09-21T00:00:00"/>
    <x v="0"/>
    <x v="6"/>
    <n v="1.9072203640000001"/>
    <s v="IMD GRID MODEL"/>
  </r>
  <r>
    <s v="Puducherry"/>
    <x v="1"/>
    <d v="2019-09-23T00:00:00"/>
    <x v="0"/>
    <x v="6"/>
    <n v="2.635630608"/>
    <s v="IMD GRID MODEL"/>
  </r>
  <r>
    <s v="Puducherry"/>
    <x v="1"/>
    <d v="2019-09-24T00:00:00"/>
    <x v="0"/>
    <x v="6"/>
    <n v="15.477856640000001"/>
    <s v="IMD GRID MODEL"/>
  </r>
  <r>
    <s v="Puducherry"/>
    <x v="1"/>
    <d v="2019-09-30T00:00:00"/>
    <x v="0"/>
    <x v="6"/>
    <n v="3.989091873"/>
    <s v="IMD GRID MODEL"/>
  </r>
  <r>
    <s v="Puducherry"/>
    <x v="1"/>
    <d v="2019-10-04T00:00:00"/>
    <x v="0"/>
    <x v="0"/>
    <n v="0"/>
    <s v="IMD GRID MODEL"/>
  </r>
  <r>
    <s v="Puducherry"/>
    <x v="1"/>
    <d v="2019-10-14T00:00:00"/>
    <x v="0"/>
    <x v="0"/>
    <n v="13.32098103"/>
    <s v="IMD GRID MODEL"/>
  </r>
  <r>
    <s v="Puducherry"/>
    <x v="1"/>
    <d v="2019-10-15T00:00:00"/>
    <x v="0"/>
    <x v="0"/>
    <n v="0"/>
    <s v="IMD GRID MODEL"/>
  </r>
  <r>
    <s v="Puducherry"/>
    <x v="1"/>
    <d v="2019-10-19T00:00:00"/>
    <x v="0"/>
    <x v="0"/>
    <n v="3.2683007719999999"/>
    <s v="IMD GRID MODEL"/>
  </r>
  <r>
    <s v="Puducherry"/>
    <x v="1"/>
    <d v="2019-10-20T00:00:00"/>
    <x v="0"/>
    <x v="0"/>
    <n v="5.1393666270000002"/>
    <s v="IMD GRID MODEL"/>
  </r>
  <r>
    <s v="Puducherry"/>
    <x v="1"/>
    <d v="2019-10-25T00:00:00"/>
    <x v="0"/>
    <x v="0"/>
    <n v="1.488762379"/>
    <s v="IMD GRID MODEL"/>
  </r>
  <r>
    <s v="Puducherry"/>
    <x v="3"/>
    <d v="2019-08-22T00:00:00"/>
    <x v="0"/>
    <x v="5"/>
    <n v="11.208382609999999"/>
    <s v="IMD GRID MODEL"/>
  </r>
  <r>
    <s v="Puducherry"/>
    <x v="3"/>
    <d v="2019-09-01T00:00:00"/>
    <x v="0"/>
    <x v="6"/>
    <n v="17.433473589999998"/>
    <s v="IMD GRID MODEL"/>
  </r>
  <r>
    <s v="Puducherry"/>
    <x v="3"/>
    <d v="2019-09-05T00:00:00"/>
    <x v="0"/>
    <x v="6"/>
    <n v="56.357639310000003"/>
    <s v="IMD GRID MODEL"/>
  </r>
  <r>
    <s v="Puducherry"/>
    <x v="3"/>
    <d v="2019-09-09T00:00:00"/>
    <x v="0"/>
    <x v="6"/>
    <n v="16.93312263"/>
    <s v="IMD GRID MODEL"/>
  </r>
  <r>
    <s v="Puducherry"/>
    <x v="3"/>
    <d v="2019-09-10T00:00:00"/>
    <x v="0"/>
    <x v="6"/>
    <n v="29.56936455"/>
    <s v="IMD GRID MODEL"/>
  </r>
  <r>
    <s v="Puducherry"/>
    <x v="3"/>
    <d v="2019-09-15T00:00:00"/>
    <x v="0"/>
    <x v="6"/>
    <n v="4.7095308300000003"/>
    <s v="IMD GRID MODEL"/>
  </r>
  <r>
    <s v="Puducherry"/>
    <x v="3"/>
    <d v="2019-09-17T00:00:00"/>
    <x v="0"/>
    <x v="6"/>
    <n v="2.953982592"/>
    <s v="IMD GRID MODEL"/>
  </r>
  <r>
    <s v="Puducherry"/>
    <x v="3"/>
    <d v="2019-09-22T00:00:00"/>
    <x v="0"/>
    <x v="6"/>
    <n v="1.3501802679999999"/>
    <s v="IMD GRID MODEL"/>
  </r>
  <r>
    <s v="Puducherry"/>
    <x v="3"/>
    <d v="2019-09-26T00:00:00"/>
    <x v="0"/>
    <x v="6"/>
    <n v="11.12172413"/>
    <s v="IMD GRID MODEL"/>
  </r>
  <r>
    <s v="Puducherry"/>
    <x v="3"/>
    <d v="2019-10-03T00:00:00"/>
    <x v="0"/>
    <x v="0"/>
    <n v="0"/>
    <s v="IMD GRID MODEL"/>
  </r>
  <r>
    <s v="Puducherry"/>
    <x v="3"/>
    <d v="2019-10-11T00:00:00"/>
    <x v="0"/>
    <x v="0"/>
    <n v="0"/>
    <s v="IMD GRID MODEL"/>
  </r>
  <r>
    <s v="Puducherry"/>
    <x v="3"/>
    <d v="2019-10-13T00:00:00"/>
    <x v="0"/>
    <x v="0"/>
    <n v="2.675421"/>
    <s v="IMD GRID MODEL"/>
  </r>
  <r>
    <s v="Puducherry"/>
    <x v="3"/>
    <d v="2019-10-14T00:00:00"/>
    <x v="0"/>
    <x v="0"/>
    <n v="4.4304180149999999"/>
    <s v="IMD GRID MODEL"/>
  </r>
  <r>
    <s v="Puducherry"/>
    <x v="3"/>
    <d v="2019-10-16T00:00:00"/>
    <x v="0"/>
    <x v="0"/>
    <n v="27.016172409999999"/>
    <s v="IMD GRID MODEL"/>
  </r>
  <r>
    <s v="Puducherry"/>
    <x v="3"/>
    <d v="2019-10-17T00:00:00"/>
    <x v="0"/>
    <x v="0"/>
    <n v="29.65023613"/>
    <s v="IMD GRID MODEL"/>
  </r>
  <r>
    <s v="Puducherry"/>
    <x v="3"/>
    <d v="2019-10-18T00:00:00"/>
    <x v="0"/>
    <x v="0"/>
    <n v="33.523738860000002"/>
    <s v="IMD GRID MODEL"/>
  </r>
  <r>
    <s v="Puducherry"/>
    <x v="3"/>
    <d v="2019-10-19T00:00:00"/>
    <x v="0"/>
    <x v="0"/>
    <n v="25.618906020000001"/>
    <s v="IMD GRID MODEL"/>
  </r>
  <r>
    <s v="Puducherry"/>
    <x v="3"/>
    <d v="2019-10-22T00:00:00"/>
    <x v="0"/>
    <x v="0"/>
    <n v="50.523578639999997"/>
    <s v="IMD GRID MODEL"/>
  </r>
  <r>
    <s v="Puducherry"/>
    <x v="3"/>
    <d v="2019-10-26T00:00:00"/>
    <x v="0"/>
    <x v="0"/>
    <n v="78.629158020000006"/>
    <s v="IMD GRID MODEL"/>
  </r>
  <r>
    <s v="Puducherry"/>
    <x v="3"/>
    <d v="2019-10-27T00:00:00"/>
    <x v="0"/>
    <x v="0"/>
    <n v="28.191375730000001"/>
    <s v="IMD GRID MODEL"/>
  </r>
  <r>
    <s v="Puducherry"/>
    <x v="3"/>
    <d v="2019-10-28T00:00:00"/>
    <x v="0"/>
    <x v="0"/>
    <n v="0"/>
    <s v="IMD GRID MODEL"/>
  </r>
  <r>
    <s v="Puducherry"/>
    <x v="3"/>
    <d v="2019-10-29T00:00:00"/>
    <x v="0"/>
    <x v="0"/>
    <n v="3.1696343420000002"/>
    <s v="IMD GRID MODEL"/>
  </r>
  <r>
    <s v="Puducherry"/>
    <x v="3"/>
    <d v="2019-11-03T00:00:00"/>
    <x v="0"/>
    <x v="1"/>
    <n v="0"/>
    <s v="IMD GRID MODEL"/>
  </r>
  <r>
    <s v="Puducherry"/>
    <x v="3"/>
    <d v="2019-11-07T00:00:00"/>
    <x v="0"/>
    <x v="1"/>
    <n v="0"/>
    <s v="IMD GRID MODEL"/>
  </r>
  <r>
    <s v="Puducherry"/>
    <x v="3"/>
    <d v="2019-11-10T00:00:00"/>
    <x v="0"/>
    <x v="1"/>
    <n v="0"/>
    <s v="IMD GRID MODEL"/>
  </r>
  <r>
    <s v="Puducherry"/>
    <x v="3"/>
    <d v="2019-11-12T00:00:00"/>
    <x v="0"/>
    <x v="1"/>
    <n v="14.76097298"/>
    <s v="IMD GRID MODEL"/>
  </r>
  <r>
    <s v="Puducherry"/>
    <x v="3"/>
    <d v="2019-11-21T00:00:00"/>
    <x v="0"/>
    <x v="1"/>
    <n v="12.422202110000001"/>
    <s v="IMD GRID MODEL"/>
  </r>
  <r>
    <s v="Puducherry"/>
    <x v="3"/>
    <d v="2019-11-25T00:00:00"/>
    <x v="0"/>
    <x v="1"/>
    <n v="0"/>
    <s v="IMD GRID MODEL"/>
  </r>
  <r>
    <s v="Puducherry"/>
    <x v="3"/>
    <d v="2019-11-26T00:00:00"/>
    <x v="0"/>
    <x v="1"/>
    <n v="0"/>
    <s v="IMD GRID MODEL"/>
  </r>
  <r>
    <s v="Puducherry"/>
    <x v="3"/>
    <d v="2019-11-28T00:00:00"/>
    <x v="0"/>
    <x v="1"/>
    <n v="0"/>
    <s v="IMD GRID MODEL"/>
  </r>
  <r>
    <s v="Puducherry"/>
    <x v="3"/>
    <d v="2019-12-05T00:00:00"/>
    <x v="0"/>
    <x v="2"/>
    <n v="0"/>
    <s v="IMD GRID MODEL"/>
  </r>
  <r>
    <s v="Puducherry"/>
    <x v="3"/>
    <d v="2019-12-10T00:00:00"/>
    <x v="0"/>
    <x v="2"/>
    <n v="0"/>
    <s v="IMD GRID MODEL"/>
  </r>
  <r>
    <s v="Puducherry"/>
    <x v="3"/>
    <d v="2019-12-14T00:00:00"/>
    <x v="0"/>
    <x v="2"/>
    <n v="0"/>
    <s v="IMD GRID MODEL"/>
  </r>
  <r>
    <s v="Puducherry"/>
    <x v="3"/>
    <d v="2019-12-21T00:00:00"/>
    <x v="0"/>
    <x v="2"/>
    <n v="0"/>
    <s v="IMD GRID MODEL"/>
  </r>
  <r>
    <s v="Puducherry"/>
    <x v="3"/>
    <d v="2019-12-24T00:00:00"/>
    <x v="0"/>
    <x v="2"/>
    <n v="0"/>
    <s v="IMD GRID MODEL"/>
  </r>
  <r>
    <s v="Puducherry"/>
    <x v="3"/>
    <d v="2019-12-30T00:00:00"/>
    <x v="0"/>
    <x v="2"/>
    <n v="0"/>
    <s v="IMD GRID MODEL"/>
  </r>
  <r>
    <s v="Puducherry"/>
    <x v="0"/>
    <d v="2019-01-08T00:00:00"/>
    <x v="0"/>
    <x v="7"/>
    <n v="0"/>
    <s v="IMD GRID MODEL"/>
  </r>
  <r>
    <s v="Puducherry"/>
    <x v="0"/>
    <d v="2019-01-18T00:00:00"/>
    <x v="0"/>
    <x v="7"/>
    <n v="0"/>
    <s v="IMD GRID MODEL"/>
  </r>
  <r>
    <s v="Puducherry"/>
    <x v="0"/>
    <d v="2019-01-19T00:00:00"/>
    <x v="0"/>
    <x v="7"/>
    <n v="0"/>
    <s v="IMD GRID MODEL"/>
  </r>
  <r>
    <s v="Puducherry"/>
    <x v="0"/>
    <d v="2019-01-21T00:00:00"/>
    <x v="0"/>
    <x v="7"/>
    <n v="0"/>
    <s v="IMD GRID MODEL"/>
  </r>
  <r>
    <s v="Puducherry"/>
    <x v="0"/>
    <d v="2019-01-22T00:00:00"/>
    <x v="0"/>
    <x v="7"/>
    <n v="0"/>
    <s v="IMD GRID MODEL"/>
  </r>
  <r>
    <s v="Puducherry"/>
    <x v="0"/>
    <d v="2019-01-28T00:00:00"/>
    <x v="0"/>
    <x v="7"/>
    <n v="0"/>
    <s v="IMD GRID MODEL"/>
  </r>
  <r>
    <s v="Puducherry"/>
    <x v="0"/>
    <d v="2019-02-08T00:00:00"/>
    <x v="0"/>
    <x v="8"/>
    <n v="0"/>
    <s v="IMD GRID MODEL"/>
  </r>
  <r>
    <s v="Puducherry"/>
    <x v="0"/>
    <d v="2019-02-11T00:00:00"/>
    <x v="0"/>
    <x v="8"/>
    <n v="0"/>
    <s v="IMD GRID MODEL"/>
  </r>
  <r>
    <s v="Puducherry"/>
    <x v="0"/>
    <d v="2019-02-13T00:00:00"/>
    <x v="0"/>
    <x v="8"/>
    <n v="0"/>
    <s v="IMD GRID MODEL"/>
  </r>
  <r>
    <s v="Puducherry"/>
    <x v="0"/>
    <d v="2019-02-21T00:00:00"/>
    <x v="0"/>
    <x v="8"/>
    <n v="0"/>
    <s v="IMD GRID MODEL"/>
  </r>
  <r>
    <s v="Puducherry"/>
    <x v="0"/>
    <d v="2019-02-22T00:00:00"/>
    <x v="0"/>
    <x v="8"/>
    <n v="0"/>
    <s v="IMD GRID MODEL"/>
  </r>
  <r>
    <s v="Puducherry"/>
    <x v="0"/>
    <d v="2019-02-27T00:00:00"/>
    <x v="0"/>
    <x v="8"/>
    <n v="0"/>
    <s v="IMD GRID MODEL"/>
  </r>
  <r>
    <s v="Puducherry"/>
    <x v="0"/>
    <d v="2019-03-07T00:00:00"/>
    <x v="0"/>
    <x v="3"/>
    <n v="0"/>
    <s v="IMD GRID MODEL"/>
  </r>
  <r>
    <s v="Puducherry"/>
    <x v="0"/>
    <d v="2019-03-23T00:00:00"/>
    <x v="0"/>
    <x v="3"/>
    <n v="0"/>
    <s v="IMD GRID MODEL"/>
  </r>
  <r>
    <s v="Puducherry"/>
    <x v="0"/>
    <d v="2019-03-25T00:00:00"/>
    <x v="0"/>
    <x v="3"/>
    <n v="0"/>
    <s v="IMD GRID MODEL"/>
  </r>
  <r>
    <s v="Puducherry"/>
    <x v="0"/>
    <d v="2019-04-03T00:00:00"/>
    <x v="0"/>
    <x v="9"/>
    <n v="0"/>
    <s v="IMD GRID MODEL"/>
  </r>
  <r>
    <s v="Puducherry"/>
    <x v="0"/>
    <d v="2019-04-06T00:00:00"/>
    <x v="0"/>
    <x v="9"/>
    <n v="0"/>
    <s v="IMD GRID MODEL"/>
  </r>
  <r>
    <s v="Puducherry"/>
    <x v="0"/>
    <d v="2019-04-08T00:00:00"/>
    <x v="0"/>
    <x v="9"/>
    <n v="0"/>
    <s v="IMD GRID MODEL"/>
  </r>
  <r>
    <s v="Puducherry"/>
    <x v="0"/>
    <d v="2019-04-11T00:00:00"/>
    <x v="0"/>
    <x v="9"/>
    <n v="0"/>
    <s v="IMD GRID MODEL"/>
  </r>
  <r>
    <s v="Puducherry"/>
    <x v="0"/>
    <d v="2019-05-04T00:00:00"/>
    <x v="0"/>
    <x v="10"/>
    <n v="0"/>
    <s v="IMD GRID MODEL"/>
  </r>
  <r>
    <s v="Puducherry"/>
    <x v="0"/>
    <d v="2019-05-05T00:00:00"/>
    <x v="0"/>
    <x v="10"/>
    <n v="0"/>
    <s v="IMD GRID MODEL"/>
  </r>
  <r>
    <s v="Puducherry"/>
    <x v="0"/>
    <d v="2019-05-11T00:00:00"/>
    <x v="0"/>
    <x v="10"/>
    <n v="0"/>
    <s v="IMD GRID MODEL"/>
  </r>
  <r>
    <s v="Puducherry"/>
    <x v="0"/>
    <d v="2019-05-12T00:00:00"/>
    <x v="0"/>
    <x v="10"/>
    <n v="0"/>
    <s v="IMD GRID MODEL"/>
  </r>
  <r>
    <s v="Puducherry"/>
    <x v="0"/>
    <d v="2019-05-26T00:00:00"/>
    <x v="0"/>
    <x v="10"/>
    <n v="0"/>
    <s v="IMD GRID MODEL"/>
  </r>
  <r>
    <s v="Puducherry"/>
    <x v="0"/>
    <d v="2019-05-29T00:00:00"/>
    <x v="0"/>
    <x v="10"/>
    <n v="0"/>
    <s v="IMD GRID MODEL"/>
  </r>
  <r>
    <s v="Puducherry"/>
    <x v="0"/>
    <d v="2019-06-06T00:00:00"/>
    <x v="0"/>
    <x v="4"/>
    <n v="0"/>
    <s v="IMD GRID MODEL"/>
  </r>
  <r>
    <s v="Puducherry"/>
    <x v="0"/>
    <d v="2019-06-07T00:00:00"/>
    <x v="0"/>
    <x v="4"/>
    <n v="0"/>
    <s v="IMD GRID MODEL"/>
  </r>
  <r>
    <s v="Puducherry"/>
    <x v="0"/>
    <d v="2019-06-15T00:00:00"/>
    <x v="0"/>
    <x v="4"/>
    <n v="0"/>
    <s v="IMD GRID MODEL"/>
  </r>
  <r>
    <s v="Puducherry"/>
    <x v="0"/>
    <d v="2019-06-16T00:00:00"/>
    <x v="0"/>
    <x v="4"/>
    <n v="0"/>
    <s v="IMD GRID MODEL"/>
  </r>
  <r>
    <s v="Puducherry"/>
    <x v="0"/>
    <d v="2019-06-21T00:00:00"/>
    <x v="0"/>
    <x v="4"/>
    <n v="0"/>
    <s v="IMD GRID MODEL"/>
  </r>
  <r>
    <s v="Puducherry"/>
    <x v="0"/>
    <d v="2019-06-24T00:00:00"/>
    <x v="0"/>
    <x v="4"/>
    <n v="6.9263262230000002"/>
    <s v="IMD GRID MODEL"/>
  </r>
  <r>
    <s v="Puducherry"/>
    <x v="0"/>
    <d v="2019-06-30T00:00:00"/>
    <x v="0"/>
    <x v="4"/>
    <n v="0"/>
    <s v="IMD GRID MODEL"/>
  </r>
  <r>
    <s v="Puducherry"/>
    <x v="0"/>
    <d v="2019-07-06T00:00:00"/>
    <x v="0"/>
    <x v="11"/>
    <n v="0.23650154800000001"/>
    <s v="IMD GRID MODEL"/>
  </r>
  <r>
    <s v="Puducherry"/>
    <x v="0"/>
    <d v="2019-07-10T00:00:00"/>
    <x v="0"/>
    <x v="11"/>
    <n v="12.776421300000001"/>
    <s v="IMD GRID MODEL"/>
  </r>
  <r>
    <s v="Puducherry"/>
    <x v="0"/>
    <d v="2019-07-14T00:00:00"/>
    <x v="0"/>
    <x v="11"/>
    <n v="0.114678355"/>
    <s v="IMD GRID MODEL"/>
  </r>
  <r>
    <s v="Puducherry"/>
    <x v="0"/>
    <d v="2019-07-20T00:00:00"/>
    <x v="0"/>
    <x v="11"/>
    <n v="0.38435509200000001"/>
    <s v="IMD GRID MODEL"/>
  </r>
  <r>
    <s v="Puducherry"/>
    <x v="0"/>
    <d v="2019-07-21T00:00:00"/>
    <x v="0"/>
    <x v="11"/>
    <n v="0.97051298399999997"/>
    <s v="IMD GRID MODEL"/>
  </r>
  <r>
    <s v="Puducherry"/>
    <x v="0"/>
    <d v="2019-07-22T00:00:00"/>
    <x v="0"/>
    <x v="11"/>
    <n v="6.3742354000000001E-2"/>
    <s v="IMD GRID MODEL"/>
  </r>
  <r>
    <s v="Puducherry"/>
    <x v="0"/>
    <d v="2019-07-30T00:00:00"/>
    <x v="0"/>
    <x v="11"/>
    <n v="9.7601498529999997"/>
    <s v="IMD GRID MODEL"/>
  </r>
  <r>
    <s v="Puducherry"/>
    <x v="0"/>
    <d v="2019-07-31T00:00:00"/>
    <x v="0"/>
    <x v="11"/>
    <n v="0"/>
    <s v="IMD GRID MODEL"/>
  </r>
  <r>
    <s v="Puducherry"/>
    <x v="0"/>
    <d v="2019-08-14T00:00:00"/>
    <x v="0"/>
    <x v="5"/>
    <n v="2.4197530729999999"/>
    <s v="IMD GRID MODEL"/>
  </r>
  <r>
    <s v="Puducherry"/>
    <x v="0"/>
    <d v="2019-08-20T00:00:00"/>
    <x v="0"/>
    <x v="5"/>
    <n v="2.2218240470000001"/>
    <s v="IMD GRID MODEL"/>
  </r>
  <r>
    <s v="Puducherry"/>
    <x v="0"/>
    <d v="2019-08-23T00:00:00"/>
    <x v="0"/>
    <x v="5"/>
    <n v="6.7806810000000002E-3"/>
    <s v="IMD GRID MODEL"/>
  </r>
  <r>
    <s v="Puducherry"/>
    <x v="0"/>
    <d v="2019-08-25T00:00:00"/>
    <x v="0"/>
    <x v="5"/>
    <n v="0"/>
    <s v="IMD GRID MODEL"/>
  </r>
  <r>
    <s v="Puducherry"/>
    <x v="0"/>
    <d v="2019-09-15T00:00:00"/>
    <x v="0"/>
    <x v="6"/>
    <n v="32.359858719999998"/>
    <s v="IMD GRID MODEL"/>
  </r>
  <r>
    <s v="Puducherry"/>
    <x v="0"/>
    <d v="2019-09-24T00:00:00"/>
    <x v="0"/>
    <x v="6"/>
    <n v="0.33766484099999999"/>
    <s v="IMD GRID MODEL"/>
  </r>
  <r>
    <s v="Puducherry"/>
    <x v="0"/>
    <d v="2019-10-07T00:00:00"/>
    <x v="0"/>
    <x v="0"/>
    <n v="0"/>
    <s v="IMD GRID MODEL"/>
  </r>
  <r>
    <s v="Puducherry"/>
    <x v="0"/>
    <d v="2019-10-20T00:00:00"/>
    <x v="0"/>
    <x v="0"/>
    <n v="8.8206512220000004"/>
    <s v="IMD GRID MODEL"/>
  </r>
  <r>
    <s v="Puducherry"/>
    <x v="0"/>
    <d v="2019-10-21T00:00:00"/>
    <x v="0"/>
    <x v="0"/>
    <n v="14.25888003"/>
    <s v="IMD GRID MODEL"/>
  </r>
  <r>
    <s v="Puducherry"/>
    <x v="0"/>
    <d v="2019-10-29T00:00:00"/>
    <x v="0"/>
    <x v="0"/>
    <n v="23.07906165"/>
    <s v="IMD GRID MODEL"/>
  </r>
  <r>
    <s v="Puducherry"/>
    <x v="0"/>
    <d v="2019-11-01T00:00:00"/>
    <x v="0"/>
    <x v="1"/>
    <n v="4.0154988469999999"/>
    <s v="IMD GRID MODEL"/>
  </r>
  <r>
    <s v="Puducherry"/>
    <x v="0"/>
    <d v="2019-11-06T00:00:00"/>
    <x v="0"/>
    <x v="1"/>
    <n v="0"/>
    <s v="IMD GRID MODEL"/>
  </r>
  <r>
    <s v="Puducherry"/>
    <x v="0"/>
    <d v="2019-11-09T00:00:00"/>
    <x v="0"/>
    <x v="1"/>
    <n v="0"/>
    <s v="IMD GRID MODEL"/>
  </r>
  <r>
    <s v="Puducherry"/>
    <x v="0"/>
    <d v="2019-11-10T00:00:00"/>
    <x v="0"/>
    <x v="1"/>
    <n v="1.69517E-3"/>
    <s v="IMD GRID MODEL"/>
  </r>
  <r>
    <s v="Puducherry"/>
    <x v="0"/>
    <d v="2019-11-11T00:00:00"/>
    <x v="0"/>
    <x v="1"/>
    <n v="0.55457884300000004"/>
    <s v="IMD GRID MODEL"/>
  </r>
  <r>
    <s v="Puducherry"/>
    <x v="0"/>
    <d v="2019-11-15T00:00:00"/>
    <x v="0"/>
    <x v="1"/>
    <n v="9.6500765489999996"/>
    <s v="IMD GRID MODEL"/>
  </r>
  <r>
    <s v="Puducherry"/>
    <x v="0"/>
    <d v="2019-11-24T00:00:00"/>
    <x v="0"/>
    <x v="1"/>
    <n v="0"/>
    <s v="IMD GRID MODEL"/>
  </r>
  <r>
    <s v="Puducherry"/>
    <x v="0"/>
    <d v="2019-11-25T00:00:00"/>
    <x v="0"/>
    <x v="1"/>
    <n v="0.53913256700000001"/>
    <s v="IMD GRID MODEL"/>
  </r>
  <r>
    <s v="Puducherry"/>
    <x v="0"/>
    <d v="2019-11-26T00:00:00"/>
    <x v="0"/>
    <x v="1"/>
    <n v="0"/>
    <s v="IMD GRID MODEL"/>
  </r>
  <r>
    <s v="Puducherry"/>
    <x v="0"/>
    <d v="2019-12-02T00:00:00"/>
    <x v="0"/>
    <x v="2"/>
    <n v="30.766650129999999"/>
    <s v="IMD GRID MODEL"/>
  </r>
  <r>
    <s v="Puducherry"/>
    <x v="0"/>
    <d v="2019-12-04T00:00:00"/>
    <x v="0"/>
    <x v="2"/>
    <n v="0.79374861600000002"/>
    <s v="IMD GRID MODEL"/>
  </r>
  <r>
    <s v="Puducherry"/>
    <x v="0"/>
    <d v="2019-12-08T00:00:00"/>
    <x v="0"/>
    <x v="2"/>
    <n v="0.71738900800000005"/>
    <s v="IMD GRID MODEL"/>
  </r>
  <r>
    <s v="Puducherry"/>
    <x v="0"/>
    <d v="2019-12-14T00:00:00"/>
    <x v="0"/>
    <x v="2"/>
    <n v="30.591328860000001"/>
    <s v="IMD GRID MODEL"/>
  </r>
  <r>
    <s v="Puducherry"/>
    <x v="0"/>
    <d v="2019-12-19T00:00:00"/>
    <x v="0"/>
    <x v="2"/>
    <n v="0.461226107"/>
    <s v="IMD GRID MODEL"/>
  </r>
  <r>
    <s v="Puducherry"/>
    <x v="0"/>
    <d v="2019-12-22T00:00:00"/>
    <x v="0"/>
    <x v="2"/>
    <n v="0"/>
    <s v="IMD GRID MODEL"/>
  </r>
  <r>
    <s v="Puducherry"/>
    <x v="0"/>
    <d v="2019-12-29T00:00:00"/>
    <x v="0"/>
    <x v="2"/>
    <n v="0"/>
    <s v="IMD GRID MODEL"/>
  </r>
  <r>
    <s v="Puducherry"/>
    <x v="0"/>
    <d v="2019-09-26T00:00:00"/>
    <x v="0"/>
    <x v="6"/>
    <n v="5.4950862330000003"/>
    <s v="IMD GRID MODEL"/>
  </r>
  <r>
    <s v="Puducherry"/>
    <x v="1"/>
    <d v="2019-01-09T00:00:00"/>
    <x v="0"/>
    <x v="7"/>
    <n v="0"/>
    <s v="IMD GRID MODEL"/>
  </r>
  <r>
    <s v="Puducherry"/>
    <x v="1"/>
    <d v="2019-01-11T00:00:00"/>
    <x v="0"/>
    <x v="7"/>
    <n v="0"/>
    <s v="IMD GRID MODEL"/>
  </r>
  <r>
    <s v="Puducherry"/>
    <x v="1"/>
    <d v="2019-01-12T00:00:00"/>
    <x v="0"/>
    <x v="7"/>
    <n v="0"/>
    <s v="IMD GRID MODEL"/>
  </r>
  <r>
    <s v="Puducherry"/>
    <x v="1"/>
    <d v="2019-01-15T00:00:00"/>
    <x v="0"/>
    <x v="7"/>
    <n v="0"/>
    <s v="IMD GRID MODEL"/>
  </r>
  <r>
    <s v="Puducherry"/>
    <x v="1"/>
    <d v="2019-01-16T00:00:00"/>
    <x v="0"/>
    <x v="7"/>
    <n v="0"/>
    <s v="IMD GRID MODEL"/>
  </r>
  <r>
    <s v="Puducherry"/>
    <x v="1"/>
    <d v="2019-01-19T00:00:00"/>
    <x v="0"/>
    <x v="7"/>
    <n v="0"/>
    <s v="IMD GRID MODEL"/>
  </r>
  <r>
    <s v="Puducherry"/>
    <x v="1"/>
    <d v="2019-01-22T00:00:00"/>
    <x v="0"/>
    <x v="7"/>
    <n v="0"/>
    <s v="IMD GRID MODEL"/>
  </r>
  <r>
    <s v="Puducherry"/>
    <x v="1"/>
    <d v="2019-01-25T00:00:00"/>
    <x v="0"/>
    <x v="7"/>
    <n v="0"/>
    <s v="IMD GRID MODEL"/>
  </r>
  <r>
    <s v="Puducherry"/>
    <x v="1"/>
    <d v="2019-02-01T00:00:00"/>
    <x v="0"/>
    <x v="8"/>
    <n v="0"/>
    <s v="IMD GRID MODEL"/>
  </r>
  <r>
    <s v="Puducherry"/>
    <x v="1"/>
    <d v="2019-02-08T00:00:00"/>
    <x v="0"/>
    <x v="8"/>
    <n v="0"/>
    <s v="IMD GRID MODEL"/>
  </r>
  <r>
    <s v="Puducherry"/>
    <x v="1"/>
    <d v="2019-02-12T00:00:00"/>
    <x v="0"/>
    <x v="8"/>
    <n v="0"/>
    <s v="IMD GRID MODEL"/>
  </r>
  <r>
    <s v="Puducherry"/>
    <x v="1"/>
    <d v="2019-03-03T00:00:00"/>
    <x v="0"/>
    <x v="3"/>
    <n v="4.9244675640000004"/>
    <s v="IMD GRID MODEL"/>
  </r>
  <r>
    <s v="Puducherry"/>
    <x v="1"/>
    <d v="2019-03-08T00:00:00"/>
    <x v="0"/>
    <x v="3"/>
    <n v="0"/>
    <s v="IMD GRID MODEL"/>
  </r>
  <r>
    <s v="Puducherry"/>
    <x v="1"/>
    <d v="2019-03-12T00:00:00"/>
    <x v="0"/>
    <x v="3"/>
    <n v="0"/>
    <s v="IMD GRID MODEL"/>
  </r>
  <r>
    <s v="Puducherry"/>
    <x v="1"/>
    <d v="2019-03-15T00:00:00"/>
    <x v="0"/>
    <x v="3"/>
    <n v="0"/>
    <s v="IMD GRID MODEL"/>
  </r>
  <r>
    <s v="Puducherry"/>
    <x v="1"/>
    <d v="2019-03-21T00:00:00"/>
    <x v="0"/>
    <x v="3"/>
    <n v="0"/>
    <s v="IMD GRID MODEL"/>
  </r>
  <r>
    <s v="Puducherry"/>
    <x v="1"/>
    <d v="2019-03-25T00:00:00"/>
    <x v="0"/>
    <x v="3"/>
    <n v="0"/>
    <s v="IMD GRID MODEL"/>
  </r>
  <r>
    <s v="Puducherry"/>
    <x v="1"/>
    <d v="2019-04-01T00:00:00"/>
    <x v="0"/>
    <x v="9"/>
    <n v="0"/>
    <s v="IMD GRID MODEL"/>
  </r>
  <r>
    <s v="Puducherry"/>
    <x v="1"/>
    <d v="2019-04-03T00:00:00"/>
    <x v="0"/>
    <x v="9"/>
    <n v="0"/>
    <s v="IMD GRID MODEL"/>
  </r>
  <r>
    <s v="Puducherry"/>
    <x v="1"/>
    <d v="2019-04-11T00:00:00"/>
    <x v="0"/>
    <x v="9"/>
    <n v="5.0578594209999999"/>
    <s v="IMD GRID MODEL"/>
  </r>
  <r>
    <s v="Puducherry"/>
    <x v="1"/>
    <d v="2019-04-12T00:00:00"/>
    <x v="0"/>
    <x v="9"/>
    <n v="0"/>
    <s v="IMD GRID MODEL"/>
  </r>
  <r>
    <s v="Puducherry"/>
    <x v="1"/>
    <d v="2019-04-16T00:00:00"/>
    <x v="0"/>
    <x v="9"/>
    <n v="0"/>
    <s v="IMD GRID MODEL"/>
  </r>
  <r>
    <s v="Puducherry"/>
    <x v="1"/>
    <d v="2019-04-17T00:00:00"/>
    <x v="0"/>
    <x v="9"/>
    <n v="0"/>
    <s v="IMD GRID MODEL"/>
  </r>
  <r>
    <s v="Puducherry"/>
    <x v="1"/>
    <d v="2019-04-22T00:00:00"/>
    <x v="0"/>
    <x v="9"/>
    <n v="16.208616259999999"/>
    <s v="IMD GRID MODEL"/>
  </r>
  <r>
    <s v="Puducherry"/>
    <x v="1"/>
    <d v="2019-04-26T00:00:00"/>
    <x v="0"/>
    <x v="9"/>
    <n v="0"/>
    <s v="IMD GRID MODEL"/>
  </r>
  <r>
    <s v="Puducherry"/>
    <x v="1"/>
    <d v="2019-04-28T00:00:00"/>
    <x v="0"/>
    <x v="9"/>
    <n v="1.8094172479999999"/>
    <s v="IMD GRID MODEL"/>
  </r>
  <r>
    <s v="Puducherry"/>
    <x v="1"/>
    <d v="2019-05-01T00:00:00"/>
    <x v="0"/>
    <x v="10"/>
    <n v="0"/>
    <s v="IMD GRID MODEL"/>
  </r>
  <r>
    <s v="Puducherry"/>
    <x v="1"/>
    <d v="2019-05-02T00:00:00"/>
    <x v="0"/>
    <x v="10"/>
    <n v="0.116736598"/>
    <s v="IMD GRID MODEL"/>
  </r>
  <r>
    <s v="Puducherry"/>
    <x v="1"/>
    <d v="2019-05-04T00:00:00"/>
    <x v="0"/>
    <x v="10"/>
    <n v="0"/>
    <s v="IMD GRID MODEL"/>
  </r>
  <r>
    <s v="Puducherry"/>
    <x v="1"/>
    <d v="2019-05-15T00:00:00"/>
    <x v="0"/>
    <x v="10"/>
    <n v="0"/>
    <s v="IMD GRID MODEL"/>
  </r>
  <r>
    <s v="Puducherry"/>
    <x v="1"/>
    <d v="2019-05-24T00:00:00"/>
    <x v="0"/>
    <x v="10"/>
    <n v="0"/>
    <s v="IMD GRID MODEL"/>
  </r>
  <r>
    <s v="Puducherry"/>
    <x v="1"/>
    <d v="2019-05-27T00:00:00"/>
    <x v="0"/>
    <x v="10"/>
    <n v="0.35020980200000001"/>
    <s v="IMD GRID MODEL"/>
  </r>
  <r>
    <s v="Puducherry"/>
    <x v="1"/>
    <d v="2019-05-30T00:00:00"/>
    <x v="0"/>
    <x v="10"/>
    <n v="7.6356153490000001"/>
    <s v="IMD GRID MODEL"/>
  </r>
  <r>
    <s v="Puducherry"/>
    <x v="1"/>
    <d v="2019-05-31T00:00:00"/>
    <x v="0"/>
    <x v="10"/>
    <n v="0"/>
    <s v="IMD GRID MODEL"/>
  </r>
  <r>
    <s v="Puducherry"/>
    <x v="1"/>
    <d v="2019-06-05T00:00:00"/>
    <x v="0"/>
    <x v="4"/>
    <n v="0"/>
    <s v="IMD GRID MODEL"/>
  </r>
  <r>
    <s v="Puducherry"/>
    <x v="1"/>
    <d v="2019-06-10T00:00:00"/>
    <x v="0"/>
    <x v="4"/>
    <n v="0"/>
    <s v="IMD GRID MODEL"/>
  </r>
  <r>
    <s v="Puducherry"/>
    <x v="1"/>
    <d v="2019-06-11T00:00:00"/>
    <x v="0"/>
    <x v="4"/>
    <n v="0"/>
    <s v="IMD GRID MODEL"/>
  </r>
  <r>
    <s v="Puducherry"/>
    <x v="1"/>
    <d v="2019-06-20T00:00:00"/>
    <x v="0"/>
    <x v="4"/>
    <n v="2.7994828219999999"/>
    <s v="IMD GRID MODEL"/>
  </r>
  <r>
    <s v="Puducherry"/>
    <x v="1"/>
    <d v="2019-06-23T00:00:00"/>
    <x v="0"/>
    <x v="4"/>
    <n v="31.526943209999999"/>
    <s v="IMD GRID MODEL"/>
  </r>
  <r>
    <s v="Puducherry"/>
    <x v="1"/>
    <d v="2019-07-01T00:00:00"/>
    <x v="0"/>
    <x v="11"/>
    <n v="9.5566167830000008"/>
    <s v="IMD GRID MODEL"/>
  </r>
  <r>
    <s v="Puducherry"/>
    <x v="1"/>
    <d v="2019-07-06T00:00:00"/>
    <x v="0"/>
    <x v="11"/>
    <n v="6.6993508339999996"/>
    <s v="IMD GRID MODEL"/>
  </r>
  <r>
    <s v="Puducherry"/>
    <x v="1"/>
    <d v="2019-07-10T00:00:00"/>
    <x v="0"/>
    <x v="11"/>
    <n v="0.532004476"/>
    <s v="IMD GRID MODEL"/>
  </r>
  <r>
    <s v="Puducherry"/>
    <x v="1"/>
    <d v="2019-07-18T00:00:00"/>
    <x v="0"/>
    <x v="11"/>
    <n v="0.88651490200000005"/>
    <s v="IMD GRID MODEL"/>
  </r>
  <r>
    <s v="Puducherry"/>
    <x v="1"/>
    <d v="2019-07-23T00:00:00"/>
    <x v="0"/>
    <x v="11"/>
    <n v="0"/>
    <s v="IMD GRID MODEL"/>
  </r>
  <r>
    <s v="Puducherry"/>
    <x v="1"/>
    <d v="2019-07-28T00:00:00"/>
    <x v="0"/>
    <x v="11"/>
    <n v="36.681240080000002"/>
    <s v="IMD GRID MODEL"/>
  </r>
  <r>
    <s v="Puducherry"/>
    <x v="1"/>
    <d v="2019-08-05T00:00:00"/>
    <x v="0"/>
    <x v="5"/>
    <n v="0.35020980200000001"/>
    <s v="IMD GRID MODEL"/>
  </r>
  <r>
    <s v="Puducherry"/>
    <x v="1"/>
    <d v="2019-08-07T00:00:00"/>
    <x v="0"/>
    <x v="5"/>
    <n v="62.494129180000002"/>
    <s v="IMD GRID MODEL"/>
  </r>
  <r>
    <s v="Puducherry"/>
    <x v="1"/>
    <d v="2019-08-14T00:00:00"/>
    <x v="0"/>
    <x v="5"/>
    <n v="13.41856003"/>
    <s v="IMD GRID MODEL"/>
  </r>
  <r>
    <s v="Puducherry"/>
    <x v="1"/>
    <d v="2019-08-21T00:00:00"/>
    <x v="0"/>
    <x v="5"/>
    <n v="0"/>
    <s v="IMD GRID MODEL"/>
  </r>
  <r>
    <s v="Puducherry"/>
    <x v="1"/>
    <d v="2019-08-25T00:00:00"/>
    <x v="0"/>
    <x v="5"/>
    <n v="8.2871580120000008"/>
    <s v="IMD GRID MODEL"/>
  </r>
  <r>
    <s v="Puducherry"/>
    <x v="1"/>
    <d v="2019-09-05T00:00:00"/>
    <x v="0"/>
    <x v="6"/>
    <n v="8.2069664000000007"/>
    <s v="IMD GRID MODEL"/>
  </r>
  <r>
    <s v="Puducherry"/>
    <x v="1"/>
    <d v="2019-09-10T00:00:00"/>
    <x v="0"/>
    <x v="6"/>
    <n v="10.393147470000001"/>
    <s v="IMD GRID MODEL"/>
  </r>
  <r>
    <s v="Puducherry"/>
    <x v="1"/>
    <d v="2019-09-11T00:00:00"/>
    <x v="0"/>
    <x v="6"/>
    <n v="7.1233963969999996"/>
    <s v="IMD GRID MODEL"/>
  </r>
  <r>
    <s v="Puducherry"/>
    <x v="1"/>
    <d v="2019-09-20T00:00:00"/>
    <x v="0"/>
    <x v="6"/>
    <n v="15.07994843"/>
    <s v="IMD GRID MODEL"/>
  </r>
  <r>
    <s v="Puducherry"/>
    <x v="1"/>
    <d v="2019-09-22T00:00:00"/>
    <x v="0"/>
    <x v="6"/>
    <n v="0.28597289300000001"/>
    <s v="IMD GRID MODEL"/>
  </r>
  <r>
    <s v="Puducherry"/>
    <x v="1"/>
    <d v="2019-09-26T00:00:00"/>
    <x v="0"/>
    <x v="6"/>
    <n v="7.7768802639999999"/>
    <s v="IMD GRID MODEL"/>
  </r>
  <r>
    <s v="Puducherry"/>
    <x v="1"/>
    <d v="2019-09-29T00:00:00"/>
    <x v="0"/>
    <x v="6"/>
    <n v="0"/>
    <s v="IMD GRID MODEL"/>
  </r>
  <r>
    <s v="Puducherry"/>
    <x v="1"/>
    <d v="2019-10-01T00:00:00"/>
    <x v="0"/>
    <x v="0"/>
    <n v="1.91419673"/>
    <s v="IMD GRID MODEL"/>
  </r>
  <r>
    <s v="Puducherry"/>
    <x v="1"/>
    <d v="2019-10-03T00:00:00"/>
    <x v="0"/>
    <x v="0"/>
    <n v="3.1370675559999999"/>
    <s v="IMD GRID MODEL"/>
  </r>
  <r>
    <s v="Puducherry"/>
    <x v="1"/>
    <d v="2019-10-07T00:00:00"/>
    <x v="0"/>
    <x v="0"/>
    <n v="7.7046151160000003"/>
    <s v="IMD GRID MODEL"/>
  </r>
  <r>
    <s v="Puducherry"/>
    <x v="1"/>
    <d v="2019-10-11T00:00:00"/>
    <x v="0"/>
    <x v="0"/>
    <n v="2.234274149"/>
    <s v="IMD GRID MODEL"/>
  </r>
  <r>
    <s v="Puducherry"/>
    <x v="1"/>
    <d v="2019-10-13T00:00:00"/>
    <x v="0"/>
    <x v="0"/>
    <n v="4.9431948659999998"/>
    <s v="IMD GRID MODEL"/>
  </r>
  <r>
    <s v="Puducherry"/>
    <x v="1"/>
    <d v="2019-10-26T00:00:00"/>
    <x v="0"/>
    <x v="0"/>
    <n v="0"/>
    <s v="IMD GRID MODEL"/>
  </r>
  <r>
    <s v="Puducherry"/>
    <x v="1"/>
    <d v="2019-10-29T00:00:00"/>
    <x v="0"/>
    <x v="0"/>
    <n v="1.248456478"/>
    <s v="IMD GRID MODEL"/>
  </r>
  <r>
    <s v="Puducherry"/>
    <x v="1"/>
    <d v="2019-11-08T00:00:00"/>
    <x v="0"/>
    <x v="1"/>
    <n v="0"/>
    <s v="IMD GRID MODEL"/>
  </r>
  <r>
    <s v="Puducherry"/>
    <x v="1"/>
    <d v="2019-11-14T00:00:00"/>
    <x v="0"/>
    <x v="1"/>
    <n v="0"/>
    <s v="IMD GRID MODEL"/>
  </r>
  <r>
    <s v="Puducherry"/>
    <x v="1"/>
    <d v="2019-11-16T00:00:00"/>
    <x v="0"/>
    <x v="1"/>
    <n v="0"/>
    <s v="IMD GRID MODEL"/>
  </r>
  <r>
    <s v="Puducherry"/>
    <x v="1"/>
    <d v="2019-11-17T00:00:00"/>
    <x v="0"/>
    <x v="1"/>
    <n v="0"/>
    <s v="IMD GRID MODEL"/>
  </r>
  <r>
    <s v="Puducherry"/>
    <x v="1"/>
    <d v="2019-11-21T00:00:00"/>
    <x v="0"/>
    <x v="1"/>
    <n v="0"/>
    <s v="IMD GRID MODEL"/>
  </r>
  <r>
    <s v="Puducherry"/>
    <x v="1"/>
    <d v="2019-11-24T00:00:00"/>
    <x v="0"/>
    <x v="1"/>
    <n v="0"/>
    <s v="IMD GRID MODEL"/>
  </r>
  <r>
    <s v="Puducherry"/>
    <x v="1"/>
    <d v="2019-11-29T00:00:00"/>
    <x v="0"/>
    <x v="1"/>
    <n v="0"/>
    <s v="IMD GRID MODEL"/>
  </r>
  <r>
    <s v="Puducherry"/>
    <x v="1"/>
    <d v="2019-12-08T00:00:00"/>
    <x v="0"/>
    <x v="2"/>
    <n v="0"/>
    <s v="IMD GRID MODEL"/>
  </r>
  <r>
    <s v="Puducherry"/>
    <x v="2"/>
    <d v="2019-01-08T00:00:00"/>
    <x v="0"/>
    <x v="7"/>
    <n v="0"/>
    <s v="IMD GRID MODEL"/>
  </r>
  <r>
    <s v="Puducherry"/>
    <x v="2"/>
    <d v="2019-01-20T00:00:00"/>
    <x v="0"/>
    <x v="7"/>
    <n v="0"/>
    <s v="IMD GRID MODEL"/>
  </r>
  <r>
    <s v="Puducherry"/>
    <x v="2"/>
    <d v="2019-01-22T00:00:00"/>
    <x v="0"/>
    <x v="7"/>
    <n v="0"/>
    <s v="IMD GRID MODEL"/>
  </r>
  <r>
    <s v="Puducherry"/>
    <x v="2"/>
    <d v="2019-01-28T00:00:00"/>
    <x v="0"/>
    <x v="7"/>
    <n v="0"/>
    <s v="IMD GRID MODEL"/>
  </r>
  <r>
    <s v="Puducherry"/>
    <x v="2"/>
    <d v="2019-01-29T00:00:00"/>
    <x v="0"/>
    <x v="7"/>
    <n v="0"/>
    <s v="IMD GRID MODEL"/>
  </r>
  <r>
    <s v="Puducherry"/>
    <x v="2"/>
    <d v="2019-01-30T00:00:00"/>
    <x v="0"/>
    <x v="7"/>
    <n v="0"/>
    <s v="IMD GRID MODEL"/>
  </r>
  <r>
    <s v="Puducherry"/>
    <x v="2"/>
    <d v="2019-02-03T00:00:00"/>
    <x v="0"/>
    <x v="8"/>
    <n v="0"/>
    <s v="IMD GRID MODEL"/>
  </r>
  <r>
    <s v="Puducherry"/>
    <x v="2"/>
    <d v="2019-02-04T00:00:00"/>
    <x v="0"/>
    <x v="8"/>
    <n v="0"/>
    <s v="IMD GRID MODEL"/>
  </r>
  <r>
    <s v="Puducherry"/>
    <x v="2"/>
    <d v="2019-02-16T00:00:00"/>
    <x v="0"/>
    <x v="8"/>
    <n v="0"/>
    <s v="IMD GRID MODEL"/>
  </r>
  <r>
    <s v="Puducherry"/>
    <x v="2"/>
    <d v="2019-02-22T00:00:00"/>
    <x v="0"/>
    <x v="8"/>
    <n v="0"/>
    <s v="IMD GRID MODEL"/>
  </r>
  <r>
    <s v="Puducherry"/>
    <x v="2"/>
    <d v="2019-02-28T00:00:00"/>
    <x v="0"/>
    <x v="8"/>
    <n v="0"/>
    <s v="IMD GRID MODEL"/>
  </r>
  <r>
    <s v="Puducherry"/>
    <x v="2"/>
    <d v="2019-03-05T00:00:00"/>
    <x v="0"/>
    <x v="3"/>
    <n v="0"/>
    <s v="IMD GRID MODEL"/>
  </r>
  <r>
    <s v="Puducherry"/>
    <x v="2"/>
    <d v="2019-03-07T00:00:00"/>
    <x v="0"/>
    <x v="3"/>
    <n v="0"/>
    <s v="IMD GRID MODEL"/>
  </r>
  <r>
    <s v="Puducherry"/>
    <x v="2"/>
    <d v="2019-03-09T00:00:00"/>
    <x v="0"/>
    <x v="3"/>
    <n v="0.59229350300000005"/>
    <s v="IMD GRID MODEL"/>
  </r>
  <r>
    <s v="Puducherry"/>
    <x v="2"/>
    <d v="2019-03-19T00:00:00"/>
    <x v="0"/>
    <x v="3"/>
    <n v="0"/>
    <s v="IMD GRID MODEL"/>
  </r>
  <r>
    <s v="Puducherry"/>
    <x v="2"/>
    <d v="2019-03-27T00:00:00"/>
    <x v="0"/>
    <x v="3"/>
    <n v="0"/>
    <s v="IMD GRID MODEL"/>
  </r>
  <r>
    <s v="Puducherry"/>
    <x v="2"/>
    <d v="2019-03-31T00:00:00"/>
    <x v="0"/>
    <x v="3"/>
    <n v="0"/>
    <s v="IMD GRID MODEL"/>
  </r>
  <r>
    <s v="Puducherry"/>
    <x v="2"/>
    <d v="2019-04-01T00:00:00"/>
    <x v="0"/>
    <x v="9"/>
    <n v="0"/>
    <s v="IMD GRID MODEL"/>
  </r>
  <r>
    <s v="Puducherry"/>
    <x v="2"/>
    <d v="2019-04-02T00:00:00"/>
    <x v="0"/>
    <x v="9"/>
    <n v="0"/>
    <s v="IMD GRID MODEL"/>
  </r>
  <r>
    <s v="Puducherry"/>
    <x v="2"/>
    <d v="2019-04-03T00:00:00"/>
    <x v="0"/>
    <x v="9"/>
    <n v="0"/>
    <s v="IMD GRID MODEL"/>
  </r>
  <r>
    <s v="Puducherry"/>
    <x v="2"/>
    <d v="2019-04-07T00:00:00"/>
    <x v="0"/>
    <x v="9"/>
    <n v="0"/>
    <s v="IMD GRID MODEL"/>
  </r>
  <r>
    <s v="Puducherry"/>
    <x v="2"/>
    <d v="2019-04-09T00:00:00"/>
    <x v="0"/>
    <x v="9"/>
    <n v="0"/>
    <s v="IMD GRID MODEL"/>
  </r>
  <r>
    <s v="Puducherry"/>
    <x v="2"/>
    <d v="2019-04-26T00:00:00"/>
    <x v="0"/>
    <x v="9"/>
    <n v="0"/>
    <s v="IMD GRID MODEL"/>
  </r>
  <r>
    <s v="Puducherry"/>
    <x v="2"/>
    <d v="2019-04-28T00:00:00"/>
    <x v="0"/>
    <x v="9"/>
    <n v="0"/>
    <s v="IMD GRID MODEL"/>
  </r>
  <r>
    <s v="Puducherry"/>
    <x v="2"/>
    <d v="2019-05-03T00:00:00"/>
    <x v="0"/>
    <x v="10"/>
    <n v="0"/>
    <s v="IMD GRID MODEL"/>
  </r>
  <r>
    <s v="Puducherry"/>
    <x v="2"/>
    <d v="2019-05-04T00:00:00"/>
    <x v="0"/>
    <x v="10"/>
    <n v="0"/>
    <s v="IMD GRID MODEL"/>
  </r>
  <r>
    <s v="Puducherry"/>
    <x v="2"/>
    <d v="2019-05-09T00:00:00"/>
    <x v="0"/>
    <x v="10"/>
    <n v="0"/>
    <s v="IMD GRID MODEL"/>
  </r>
  <r>
    <s v="Puducherry"/>
    <x v="2"/>
    <d v="2019-05-11T00:00:00"/>
    <x v="0"/>
    <x v="10"/>
    <n v="0"/>
    <s v="IMD GRID MODEL"/>
  </r>
  <r>
    <s v="Puducherry"/>
    <x v="2"/>
    <d v="2019-05-17T00:00:00"/>
    <x v="0"/>
    <x v="10"/>
    <n v="0"/>
    <s v="IMD GRID MODEL"/>
  </r>
  <r>
    <s v="Puducherry"/>
    <x v="2"/>
    <d v="2019-05-29T00:00:00"/>
    <x v="0"/>
    <x v="10"/>
    <n v="0"/>
    <s v="IMD GRID MODEL"/>
  </r>
  <r>
    <s v="Puducherry"/>
    <x v="2"/>
    <d v="2019-05-30T00:00:00"/>
    <x v="0"/>
    <x v="10"/>
    <n v="0"/>
    <s v="IMD GRID MODEL"/>
  </r>
  <r>
    <s v="Puducherry"/>
    <x v="2"/>
    <d v="2019-06-01T00:00:00"/>
    <x v="0"/>
    <x v="4"/>
    <n v="0"/>
    <s v="IMD GRID MODEL"/>
  </r>
  <r>
    <s v="Puducherry"/>
    <x v="2"/>
    <d v="2019-06-04T00:00:00"/>
    <x v="0"/>
    <x v="4"/>
    <n v="0"/>
    <s v="IMD GRID MODEL"/>
  </r>
  <r>
    <s v="Puducherry"/>
    <x v="2"/>
    <d v="2019-06-09T00:00:00"/>
    <x v="0"/>
    <x v="4"/>
    <n v="0"/>
    <s v="IMD GRID MODEL"/>
  </r>
  <r>
    <s v="Puducherry"/>
    <x v="2"/>
    <d v="2019-06-10T00:00:00"/>
    <x v="0"/>
    <x v="4"/>
    <n v="0"/>
    <s v="IMD GRID MODEL"/>
  </r>
  <r>
    <s v="Puducherry"/>
    <x v="2"/>
    <d v="2019-06-20T00:00:00"/>
    <x v="0"/>
    <x v="4"/>
    <n v="0"/>
    <s v="IMD GRID MODEL"/>
  </r>
  <r>
    <s v="Puducherry"/>
    <x v="2"/>
    <d v="2019-06-21T00:00:00"/>
    <x v="0"/>
    <x v="4"/>
    <n v="0"/>
    <s v="IMD GRID MODEL"/>
  </r>
  <r>
    <s v="Puducherry"/>
    <x v="2"/>
    <d v="2019-07-08T00:00:00"/>
    <x v="0"/>
    <x v="11"/>
    <n v="0"/>
    <s v="IMD GRID MODEL"/>
  </r>
  <r>
    <s v="Puducherry"/>
    <x v="2"/>
    <d v="2019-07-09T00:00:00"/>
    <x v="0"/>
    <x v="11"/>
    <n v="0"/>
    <s v="IMD GRID MODEL"/>
  </r>
  <r>
    <s v="Puducherry"/>
    <x v="2"/>
    <d v="2019-07-11T00:00:00"/>
    <x v="0"/>
    <x v="11"/>
    <n v="0.236112393"/>
    <s v="IMD GRID MODEL"/>
  </r>
  <r>
    <s v="Puducherry"/>
    <x v="2"/>
    <d v="2019-07-17T00:00:00"/>
    <x v="0"/>
    <x v="11"/>
    <n v="0"/>
    <s v="IMD GRID MODEL"/>
  </r>
  <r>
    <s v="Puducherry"/>
    <x v="2"/>
    <d v="2019-07-18T00:00:00"/>
    <x v="0"/>
    <x v="11"/>
    <n v="0.22177238699999999"/>
    <s v="IMD GRID MODEL"/>
  </r>
  <r>
    <s v="Puducherry"/>
    <x v="2"/>
    <d v="2019-07-25T00:00:00"/>
    <x v="0"/>
    <x v="11"/>
    <n v="0"/>
    <s v="IMD GRID MODEL"/>
  </r>
  <r>
    <s v="Puducherry"/>
    <x v="2"/>
    <d v="2019-08-03T00:00:00"/>
    <x v="0"/>
    <x v="5"/>
    <n v="0"/>
    <s v="IMD GRID MODEL"/>
  </r>
  <r>
    <s v="Puducherry"/>
    <x v="2"/>
    <d v="2019-08-04T00:00:00"/>
    <x v="0"/>
    <x v="5"/>
    <n v="0"/>
    <s v="IMD GRID MODEL"/>
  </r>
  <r>
    <s v="Puducherry"/>
    <x v="2"/>
    <d v="2019-08-11T00:00:00"/>
    <x v="0"/>
    <x v="5"/>
    <n v="0"/>
    <s v="IMD GRID MODEL"/>
  </r>
  <r>
    <s v="Puducherry"/>
    <x v="2"/>
    <d v="2019-08-19T00:00:00"/>
    <x v="0"/>
    <x v="5"/>
    <n v="0.87366924800000001"/>
    <s v="IMD GRID MODEL"/>
  </r>
  <r>
    <s v="Puducherry"/>
    <x v="2"/>
    <d v="2019-08-30T00:00:00"/>
    <x v="0"/>
    <x v="5"/>
    <n v="3.4623515130000002"/>
    <s v="IMD GRID MODEL"/>
  </r>
  <r>
    <s v="Puducherry"/>
    <x v="2"/>
    <d v="2019-08-31T00:00:00"/>
    <x v="0"/>
    <x v="5"/>
    <n v="0"/>
    <s v="IMD GRID MODEL"/>
  </r>
  <r>
    <s v="Puducherry"/>
    <x v="2"/>
    <d v="2019-08-29T00:00:00"/>
    <x v="0"/>
    <x v="5"/>
    <n v="0"/>
    <s v="IMD GRID MODEL"/>
  </r>
  <r>
    <s v="Puducherry"/>
    <x v="2"/>
    <d v="2019-09-01T00:00:00"/>
    <x v="0"/>
    <x v="6"/>
    <n v="0"/>
    <s v="IMD GRID MODEL"/>
  </r>
  <r>
    <s v="Puducherry"/>
    <x v="2"/>
    <d v="2019-09-14T00:00:00"/>
    <x v="0"/>
    <x v="6"/>
    <n v="20.39150875"/>
    <s v="IMD GRID MODEL"/>
  </r>
  <r>
    <s v="Puducherry"/>
    <x v="2"/>
    <d v="2019-09-16T00:00:00"/>
    <x v="0"/>
    <x v="6"/>
    <n v="5.405868967"/>
    <s v="IMD GRID MODEL"/>
  </r>
  <r>
    <s v="Puducherry"/>
    <x v="2"/>
    <d v="2019-09-19T00:00:00"/>
    <x v="0"/>
    <x v="6"/>
    <n v="2.7000474999999999E-2"/>
    <s v="IMD GRID MODEL"/>
  </r>
  <r>
    <s v="Puducherry"/>
    <x v="2"/>
    <d v="2019-09-24T00:00:00"/>
    <x v="0"/>
    <x v="6"/>
    <n v="0.86894263100000002"/>
    <s v="IMD GRID MODEL"/>
  </r>
  <r>
    <s v="Puducherry"/>
    <x v="2"/>
    <d v="2019-09-26T00:00:00"/>
    <x v="0"/>
    <x v="6"/>
    <n v="25.531022060000002"/>
    <s v="IMD GRID MODEL"/>
  </r>
  <r>
    <s v="Puducherry"/>
    <x v="2"/>
    <d v="2019-09-29T00:00:00"/>
    <x v="0"/>
    <x v="6"/>
    <n v="0"/>
    <s v="IMD GRID MODEL"/>
  </r>
  <r>
    <s v="Puducherry"/>
    <x v="2"/>
    <d v="2019-10-04T00:00:00"/>
    <x v="0"/>
    <x v="0"/>
    <n v="0"/>
    <s v="IMD GRID MODEL"/>
  </r>
  <r>
    <s v="Puducherry"/>
    <x v="2"/>
    <d v="2019-10-05T00:00:00"/>
    <x v="0"/>
    <x v="0"/>
    <n v="0"/>
    <s v="IMD GRID MODEL"/>
  </r>
  <r>
    <s v="Puducherry"/>
    <x v="2"/>
    <d v="2019-10-07T00:00:00"/>
    <x v="0"/>
    <x v="0"/>
    <n v="1.4000245999999999E-2"/>
    <s v="IMD GRID MODEL"/>
  </r>
  <r>
    <s v="Puducherry"/>
    <x v="2"/>
    <d v="2019-10-09T00:00:00"/>
    <x v="0"/>
    <x v="0"/>
    <n v="0"/>
    <s v="IMD GRID MODEL"/>
  </r>
  <r>
    <s v="Puducherry"/>
    <x v="2"/>
    <d v="2019-10-10T00:00:00"/>
    <x v="0"/>
    <x v="0"/>
    <n v="0"/>
    <s v="IMD GRID MODEL"/>
  </r>
  <r>
    <s v="Puducherry"/>
    <x v="2"/>
    <d v="2019-10-18T00:00:00"/>
    <x v="0"/>
    <x v="0"/>
    <n v="6.5101001170000004"/>
    <s v="IMD GRID MODEL"/>
  </r>
  <r>
    <s v="Puducherry"/>
    <x v="2"/>
    <d v="2019-10-19T00:00:00"/>
    <x v="0"/>
    <x v="0"/>
    <n v="0.50924885099999995"/>
    <s v="IMD GRID MODEL"/>
  </r>
  <r>
    <s v="Puducherry"/>
    <x v="2"/>
    <d v="2019-10-25T00:00:00"/>
    <x v="0"/>
    <x v="0"/>
    <n v="1.1467514E-2"/>
    <s v="IMD GRID MODEL"/>
  </r>
  <r>
    <s v="Puducherry"/>
    <x v="2"/>
    <d v="2019-10-28T00:00:00"/>
    <x v="0"/>
    <x v="0"/>
    <n v="20.41266581"/>
    <s v="IMD GRID MODEL"/>
  </r>
  <r>
    <s v="Puducherry"/>
    <x v="2"/>
    <d v="2019-10-31T00:00:00"/>
    <x v="0"/>
    <x v="0"/>
    <n v="44.437446379999997"/>
    <s v="IMD GRID MODEL"/>
  </r>
  <r>
    <s v="Puducherry"/>
    <x v="2"/>
    <d v="2019-11-05T00:00:00"/>
    <x v="0"/>
    <x v="1"/>
    <n v="0"/>
    <s v="IMD GRID MODEL"/>
  </r>
  <r>
    <s v="Puducherry"/>
    <x v="2"/>
    <d v="2019-11-06T00:00:00"/>
    <x v="0"/>
    <x v="1"/>
    <n v="0"/>
    <s v="IMD GRID MODEL"/>
  </r>
  <r>
    <s v="Puducherry"/>
    <x v="2"/>
    <d v="2019-11-07T00:00:00"/>
    <x v="0"/>
    <x v="1"/>
    <n v="0"/>
    <s v="IMD GRID MODEL"/>
  </r>
  <r>
    <s v="Puducherry"/>
    <x v="2"/>
    <d v="2019-11-10T00:00:00"/>
    <x v="0"/>
    <x v="1"/>
    <n v="0"/>
    <s v="IMD GRID MODEL"/>
  </r>
  <r>
    <s v="Puducherry"/>
    <x v="2"/>
    <d v="2019-11-21T00:00:00"/>
    <x v="0"/>
    <x v="1"/>
    <n v="3.2683233920000001"/>
    <s v="IMD GRID MODEL"/>
  </r>
  <r>
    <s v="Puducherry"/>
    <x v="2"/>
    <d v="2019-11-23T00:00:00"/>
    <x v="0"/>
    <x v="1"/>
    <n v="32.895646560000003"/>
    <s v="IMD GRID MODEL"/>
  </r>
  <r>
    <s v="Puducherry"/>
    <x v="2"/>
    <d v="2019-12-02T00:00:00"/>
    <x v="0"/>
    <x v="2"/>
    <n v="5.3809617940000001"/>
    <s v="IMD GRID MODEL"/>
  </r>
  <r>
    <s v="Puducherry"/>
    <x v="2"/>
    <d v="2019-12-04T00:00:00"/>
    <x v="0"/>
    <x v="2"/>
    <n v="4.6243069769999998"/>
    <s v="IMD GRID MODEL"/>
  </r>
  <r>
    <s v="Puducherry"/>
    <x v="2"/>
    <d v="2019-12-07T00:00:00"/>
    <x v="0"/>
    <x v="2"/>
    <n v="8.4447106660000006"/>
    <s v="IMD GRID MODEL"/>
  </r>
  <r>
    <s v="Puducherry"/>
    <x v="2"/>
    <d v="2019-12-11T00:00:00"/>
    <x v="0"/>
    <x v="2"/>
    <n v="0"/>
    <s v="IMD GRID MODEL"/>
  </r>
  <r>
    <s v="Puducherry"/>
    <x v="2"/>
    <d v="2019-12-13T00:00:00"/>
    <x v="0"/>
    <x v="2"/>
    <n v="5.6936263110000001"/>
    <s v="IMD GRID MODEL"/>
  </r>
  <r>
    <s v="Puducherry"/>
    <x v="2"/>
    <d v="2019-12-18T00:00:00"/>
    <x v="0"/>
    <x v="2"/>
    <n v="0.57939752099999997"/>
    <s v="IMD GRID MODEL"/>
  </r>
  <r>
    <s v="Puducherry"/>
    <x v="2"/>
    <d v="2019-12-20T00:00:00"/>
    <x v="0"/>
    <x v="2"/>
    <n v="1.7469912519999999"/>
    <s v="IMD GRID MODEL"/>
  </r>
  <r>
    <s v="Puducherry"/>
    <x v="2"/>
    <d v="2019-12-21T00:00:00"/>
    <x v="0"/>
    <x v="2"/>
    <n v="0.17268593800000001"/>
    <s v="IMD GRID MODEL"/>
  </r>
  <r>
    <s v="Puducherry"/>
    <x v="2"/>
    <d v="2019-12-28T00:00:00"/>
    <x v="0"/>
    <x v="2"/>
    <n v="0"/>
    <s v="IMD GRID MODEL"/>
  </r>
  <r>
    <s v="Puducherry"/>
    <x v="3"/>
    <d v="2019-01-08T00:00:00"/>
    <x v="0"/>
    <x v="7"/>
    <n v="0"/>
    <s v="IMD GRID MODEL"/>
  </r>
  <r>
    <s v="Puducherry"/>
    <x v="3"/>
    <d v="2019-01-11T00:00:00"/>
    <x v="0"/>
    <x v="7"/>
    <n v="0"/>
    <s v="IMD GRID MODEL"/>
  </r>
  <r>
    <s v="Puducherry"/>
    <x v="3"/>
    <d v="2019-01-17T00:00:00"/>
    <x v="0"/>
    <x v="7"/>
    <n v="0"/>
    <s v="IMD GRID MODEL"/>
  </r>
  <r>
    <s v="Puducherry"/>
    <x v="3"/>
    <d v="2019-01-18T00:00:00"/>
    <x v="0"/>
    <x v="7"/>
    <n v="0"/>
    <s v="IMD GRID MODEL"/>
  </r>
  <r>
    <s v="Puducherry"/>
    <x v="3"/>
    <d v="2019-01-23T00:00:00"/>
    <x v="0"/>
    <x v="7"/>
    <n v="0"/>
    <s v="IMD GRID MODEL"/>
  </r>
  <r>
    <s v="Puducherry"/>
    <x v="3"/>
    <d v="2019-01-26T00:00:00"/>
    <x v="0"/>
    <x v="7"/>
    <n v="0"/>
    <s v="IMD GRID MODEL"/>
  </r>
  <r>
    <s v="Puducherry"/>
    <x v="3"/>
    <d v="2019-01-30T00:00:00"/>
    <x v="0"/>
    <x v="7"/>
    <n v="0"/>
    <s v="IMD GRID MODEL"/>
  </r>
  <r>
    <s v="Puducherry"/>
    <x v="3"/>
    <d v="2019-02-09T00:00:00"/>
    <x v="0"/>
    <x v="8"/>
    <n v="0"/>
    <s v="IMD GRID MODEL"/>
  </r>
  <r>
    <s v="Puducherry"/>
    <x v="3"/>
    <d v="2019-02-10T00:00:00"/>
    <x v="0"/>
    <x v="8"/>
    <n v="0"/>
    <s v="IMD GRID MODEL"/>
  </r>
  <r>
    <s v="Puducherry"/>
    <x v="3"/>
    <d v="2019-02-14T00:00:00"/>
    <x v="0"/>
    <x v="8"/>
    <n v="0"/>
    <s v="IMD GRID MODEL"/>
  </r>
  <r>
    <s v="Puducherry"/>
    <x v="3"/>
    <d v="2019-02-21T00:00:00"/>
    <x v="0"/>
    <x v="8"/>
    <n v="0"/>
    <s v="IMD GRID MODEL"/>
  </r>
  <r>
    <s v="Puducherry"/>
    <x v="3"/>
    <d v="2019-03-07T00:00:00"/>
    <x v="0"/>
    <x v="3"/>
    <n v="0"/>
    <s v="IMD GRID MODEL"/>
  </r>
  <r>
    <s v="Puducherry"/>
    <x v="3"/>
    <d v="2019-03-11T00:00:00"/>
    <x v="0"/>
    <x v="3"/>
    <n v="0"/>
    <s v="IMD GRID MODEL"/>
  </r>
  <r>
    <s v="Puducherry"/>
    <x v="3"/>
    <d v="2019-03-18T00:00:00"/>
    <x v="0"/>
    <x v="3"/>
    <n v="0"/>
    <s v="IMD GRID MODEL"/>
  </r>
  <r>
    <s v="Puducherry"/>
    <x v="3"/>
    <d v="2019-03-23T00:00:00"/>
    <x v="0"/>
    <x v="3"/>
    <n v="0"/>
    <s v="IMD GRID MODEL"/>
  </r>
  <r>
    <s v="Puducherry"/>
    <x v="3"/>
    <d v="2019-03-25T00:00:00"/>
    <x v="0"/>
    <x v="3"/>
    <n v="0"/>
    <s v="IMD GRID MODEL"/>
  </r>
  <r>
    <s v="Puducherry"/>
    <x v="3"/>
    <d v="2019-03-24T00:00:00"/>
    <x v="0"/>
    <x v="3"/>
    <n v="0"/>
    <s v="IMD GRID MODEL"/>
  </r>
  <r>
    <s v="Puducherry"/>
    <x v="3"/>
    <d v="2019-03-28T00:00:00"/>
    <x v="0"/>
    <x v="3"/>
    <n v="0"/>
    <s v="IMD GRID MODEL"/>
  </r>
  <r>
    <s v="Puducherry"/>
    <x v="3"/>
    <d v="2019-03-29T00:00:00"/>
    <x v="0"/>
    <x v="3"/>
    <n v="0"/>
    <s v="IMD GRID MODEL"/>
  </r>
  <r>
    <s v="Puducherry"/>
    <x v="3"/>
    <d v="2019-03-31T00:00:00"/>
    <x v="0"/>
    <x v="3"/>
    <n v="0"/>
    <s v="IMD GRID MODEL"/>
  </r>
  <r>
    <s v="Puducherry"/>
    <x v="3"/>
    <d v="2019-04-05T00:00:00"/>
    <x v="0"/>
    <x v="9"/>
    <n v="0"/>
    <s v="IMD GRID MODEL"/>
  </r>
  <r>
    <s v="Puducherry"/>
    <x v="3"/>
    <d v="2019-04-10T00:00:00"/>
    <x v="0"/>
    <x v="9"/>
    <n v="0"/>
    <s v="IMD GRID MODEL"/>
  </r>
  <r>
    <s v="Puducherry"/>
    <x v="3"/>
    <d v="2019-04-21T00:00:00"/>
    <x v="0"/>
    <x v="9"/>
    <n v="0.17039738600000001"/>
    <s v="IMD GRID MODEL"/>
  </r>
  <r>
    <s v="Puducherry"/>
    <x v="3"/>
    <d v="2019-04-25T00:00:00"/>
    <x v="0"/>
    <x v="9"/>
    <n v="0.127798036"/>
    <s v="IMD GRID MODEL"/>
  </r>
  <r>
    <s v="Puducherry"/>
    <x v="3"/>
    <d v="2019-04-30T00:00:00"/>
    <x v="0"/>
    <x v="9"/>
    <n v="11.4802084"/>
    <s v="IMD GRID MODEL"/>
  </r>
  <r>
    <s v="Puducherry"/>
    <x v="3"/>
    <d v="2019-05-02T00:00:00"/>
    <x v="0"/>
    <x v="10"/>
    <n v="11.611200330000001"/>
    <s v="IMD GRID MODEL"/>
  </r>
  <r>
    <s v="Puducherry"/>
    <x v="3"/>
    <d v="2019-05-03T00:00:00"/>
    <x v="0"/>
    <x v="10"/>
    <n v="0"/>
    <s v="IMD GRID MODEL"/>
  </r>
  <r>
    <s v="Puducherry"/>
    <x v="3"/>
    <d v="2019-05-11T00:00:00"/>
    <x v="0"/>
    <x v="10"/>
    <n v="0"/>
    <s v="IMD GRID MODEL"/>
  </r>
  <r>
    <s v="Puducherry"/>
    <x v="3"/>
    <d v="2019-05-13T00:00:00"/>
    <x v="0"/>
    <x v="10"/>
    <n v="0"/>
    <s v="IMD GRID MODEL"/>
  </r>
  <r>
    <s v="Puducherry"/>
    <x v="3"/>
    <d v="2019-05-23T00:00:00"/>
    <x v="0"/>
    <x v="10"/>
    <n v="0"/>
    <s v="IMD GRID MODEL"/>
  </r>
  <r>
    <s v="Puducherry"/>
    <x v="3"/>
    <d v="2019-05-31T00:00:00"/>
    <x v="0"/>
    <x v="10"/>
    <n v="0"/>
    <s v="IMD GRID MODEL"/>
  </r>
  <r>
    <s v="Puducherry"/>
    <x v="3"/>
    <d v="2019-06-10T00:00:00"/>
    <x v="0"/>
    <x v="4"/>
    <n v="16.07901382"/>
    <s v="IMD GRID MODEL"/>
  </r>
  <r>
    <s v="Puducherry"/>
    <x v="3"/>
    <d v="2019-06-13T00:00:00"/>
    <x v="0"/>
    <x v="4"/>
    <n v="31.161777499999999"/>
    <s v="IMD GRID MODEL"/>
  </r>
  <r>
    <s v="Puducherry"/>
    <x v="3"/>
    <d v="2019-06-28T00:00:00"/>
    <x v="0"/>
    <x v="4"/>
    <n v="1.9178904290000001"/>
    <s v="IMD GRID MODEL"/>
  </r>
  <r>
    <s v="Puducherry"/>
    <x v="3"/>
    <d v="2019-07-01T00:00:00"/>
    <x v="0"/>
    <x v="11"/>
    <n v="2.1087105269999999"/>
    <s v="IMD GRID MODEL"/>
  </r>
  <r>
    <s v="Puducherry"/>
    <x v="3"/>
    <d v="2019-07-04T00:00:00"/>
    <x v="0"/>
    <x v="11"/>
    <n v="9.5689859389999992"/>
    <s v="IMD GRID MODEL"/>
  </r>
  <r>
    <s v="Puducherry"/>
    <x v="3"/>
    <d v="2019-07-08T00:00:00"/>
    <x v="0"/>
    <x v="11"/>
    <n v="16.661830899999998"/>
    <s v="IMD GRID MODEL"/>
  </r>
  <r>
    <s v="Puducherry"/>
    <x v="3"/>
    <d v="2019-07-09T00:00:00"/>
    <x v="0"/>
    <x v="11"/>
    <n v="46.940792080000001"/>
    <s v="IMD GRID MODEL"/>
  </r>
  <r>
    <s v="Puducherry"/>
    <x v="3"/>
    <d v="2019-07-23T00:00:00"/>
    <x v="0"/>
    <x v="11"/>
    <n v="106.11170199999999"/>
    <s v="IMD GRID MODEL"/>
  </r>
  <r>
    <s v="Puducherry"/>
    <x v="3"/>
    <d v="2019-07-31T00:00:00"/>
    <x v="0"/>
    <x v="11"/>
    <n v="8.4449815749999999"/>
    <s v="IMD GRID MODEL"/>
  </r>
  <r>
    <s v="Puducherry"/>
    <x v="3"/>
    <d v="2019-08-08T00:00:00"/>
    <x v="0"/>
    <x v="5"/>
    <n v="70.52516937"/>
    <s v="IMD GRID MODEL"/>
  </r>
  <r>
    <s v="Puducherry"/>
    <x v="3"/>
    <d v="2019-08-12T00:00:00"/>
    <x v="0"/>
    <x v="5"/>
    <n v="12.283864019999999"/>
    <s v="IMD GRID MODEL"/>
  </r>
  <r>
    <s v="Puducherry"/>
    <x v="3"/>
    <d v="2019-08-17T00:00:00"/>
    <x v="0"/>
    <x v="5"/>
    <n v="4.8954901700000004"/>
    <s v="IMD GRID MOD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ABB98-977C-49F4-A7EA-DA37ED37606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0" firstHeaderRow="0" firstDataRow="1" firstDataCol="1"/>
  <pivotFields count="7">
    <pivotField showAll="0"/>
    <pivotField axis="axisRow" showAll="0">
      <items count="5">
        <item x="2"/>
        <item x="3"/>
        <item x="0"/>
        <item x="1"/>
        <item t="default"/>
      </items>
    </pivotField>
    <pivotField numFmtId="14" showAll="0"/>
    <pivotField axis="axisRow" showAll="0">
      <items count="2">
        <item x="0"/>
        <item t="default"/>
      </items>
    </pivotField>
    <pivotField axis="axisRow" showAll="0">
      <items count="13">
        <item x="7"/>
        <item x="8"/>
        <item x="3"/>
        <item x="9"/>
        <item x="10"/>
        <item x="4"/>
        <item x="11"/>
        <item x="5"/>
        <item x="6"/>
        <item x="0"/>
        <item x="1"/>
        <item x="2"/>
        <item t="default"/>
      </items>
    </pivotField>
    <pivotField dataField="1" showAll="0"/>
    <pivotField showAll="0"/>
  </pivotFields>
  <rowFields count="3">
    <field x="1"/>
    <field x="3"/>
    <field x="4"/>
  </rowFields>
  <rowItems count="57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rainfall" fld="5" baseField="4" baseItem="2"/>
    <dataField name="Days_with_Data" fld="5" subtotal="count" baseField="4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D667-0FE5-40AE-AD52-CEED3D9A39E0}">
  <dimension ref="A1:G1461"/>
  <sheetViews>
    <sheetView workbookViewId="0">
      <selection activeCell="B9" sqref="A1:G1461"/>
    </sheetView>
  </sheetViews>
  <sheetFormatPr defaultRowHeight="15" x14ac:dyDescent="0.25"/>
  <cols>
    <col min="3" max="3" width="13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43747</v>
      </c>
      <c r="D2">
        <v>2019</v>
      </c>
      <c r="E2">
        <v>10</v>
      </c>
      <c r="F2">
        <v>0</v>
      </c>
      <c r="G2" t="s">
        <v>9</v>
      </c>
    </row>
    <row r="3" spans="1:7" x14ac:dyDescent="0.25">
      <c r="A3" t="s">
        <v>7</v>
      </c>
      <c r="B3" t="s">
        <v>8</v>
      </c>
      <c r="C3" s="1">
        <v>43748</v>
      </c>
      <c r="D3">
        <v>2019</v>
      </c>
      <c r="E3">
        <v>10</v>
      </c>
      <c r="F3">
        <v>0</v>
      </c>
      <c r="G3" t="s">
        <v>9</v>
      </c>
    </row>
    <row r="4" spans="1:7" x14ac:dyDescent="0.25">
      <c r="A4" t="s">
        <v>7</v>
      </c>
      <c r="B4" t="s">
        <v>8</v>
      </c>
      <c r="C4" s="1">
        <v>43754</v>
      </c>
      <c r="D4">
        <v>2019</v>
      </c>
      <c r="E4">
        <v>10</v>
      </c>
      <c r="F4">
        <v>8.3884454949999991</v>
      </c>
      <c r="G4" t="s">
        <v>9</v>
      </c>
    </row>
    <row r="5" spans="1:7" x14ac:dyDescent="0.25">
      <c r="A5" t="s">
        <v>7</v>
      </c>
      <c r="B5" t="s">
        <v>8</v>
      </c>
      <c r="C5" s="1">
        <v>43764</v>
      </c>
      <c r="D5">
        <v>2019</v>
      </c>
      <c r="E5">
        <v>10</v>
      </c>
      <c r="F5">
        <v>1.6941763999999999</v>
      </c>
      <c r="G5" t="s">
        <v>9</v>
      </c>
    </row>
    <row r="6" spans="1:7" x14ac:dyDescent="0.25">
      <c r="A6" t="s">
        <v>7</v>
      </c>
      <c r="B6" t="s">
        <v>8</v>
      </c>
      <c r="C6" s="1">
        <v>43771</v>
      </c>
      <c r="D6">
        <v>2019</v>
      </c>
      <c r="E6">
        <v>11</v>
      </c>
      <c r="F6">
        <v>2.901784E-2</v>
      </c>
      <c r="G6" t="s">
        <v>9</v>
      </c>
    </row>
    <row r="7" spans="1:7" x14ac:dyDescent="0.25">
      <c r="A7" t="s">
        <v>7</v>
      </c>
      <c r="B7" t="s">
        <v>8</v>
      </c>
      <c r="C7" s="1">
        <v>43773</v>
      </c>
      <c r="D7">
        <v>2019</v>
      </c>
      <c r="E7">
        <v>11</v>
      </c>
      <c r="F7">
        <v>1.7113085E-2</v>
      </c>
      <c r="G7" t="s">
        <v>9</v>
      </c>
    </row>
    <row r="8" spans="1:7" x14ac:dyDescent="0.25">
      <c r="A8" t="s">
        <v>7</v>
      </c>
      <c r="B8" t="s">
        <v>8</v>
      </c>
      <c r="C8" s="1">
        <v>43789</v>
      </c>
      <c r="D8">
        <v>2019</v>
      </c>
      <c r="E8">
        <v>11</v>
      </c>
      <c r="F8">
        <v>12.058278980000001</v>
      </c>
      <c r="G8" t="s">
        <v>9</v>
      </c>
    </row>
    <row r="9" spans="1:7" x14ac:dyDescent="0.25">
      <c r="A9" t="s">
        <v>7</v>
      </c>
      <c r="B9" t="s">
        <v>8</v>
      </c>
      <c r="C9" s="1">
        <v>43796</v>
      </c>
      <c r="D9">
        <v>2019</v>
      </c>
      <c r="E9">
        <v>11</v>
      </c>
      <c r="F9">
        <v>28.054364419999999</v>
      </c>
      <c r="G9" t="s">
        <v>9</v>
      </c>
    </row>
    <row r="10" spans="1:7" x14ac:dyDescent="0.25">
      <c r="A10" t="s">
        <v>7</v>
      </c>
      <c r="B10" t="s">
        <v>8</v>
      </c>
      <c r="C10" s="1">
        <v>43798</v>
      </c>
      <c r="D10">
        <v>2019</v>
      </c>
      <c r="E10">
        <v>11</v>
      </c>
      <c r="F10">
        <v>14.34462847</v>
      </c>
      <c r="G10" t="s">
        <v>9</v>
      </c>
    </row>
    <row r="11" spans="1:7" x14ac:dyDescent="0.25">
      <c r="A11" t="s">
        <v>7</v>
      </c>
      <c r="B11" t="s">
        <v>8</v>
      </c>
      <c r="C11" s="1">
        <v>43799</v>
      </c>
      <c r="D11">
        <v>2019</v>
      </c>
      <c r="E11">
        <v>11</v>
      </c>
      <c r="F11">
        <v>17.91025977</v>
      </c>
      <c r="G11" t="s">
        <v>9</v>
      </c>
    </row>
    <row r="12" spans="1:7" x14ac:dyDescent="0.25">
      <c r="A12" t="s">
        <v>7</v>
      </c>
      <c r="B12" t="s">
        <v>8</v>
      </c>
      <c r="C12" s="1">
        <v>43809</v>
      </c>
      <c r="D12">
        <v>2019</v>
      </c>
      <c r="E12">
        <v>12</v>
      </c>
      <c r="F12">
        <v>0</v>
      </c>
      <c r="G12" t="s">
        <v>9</v>
      </c>
    </row>
    <row r="13" spans="1:7" x14ac:dyDescent="0.25">
      <c r="A13" t="s">
        <v>7</v>
      </c>
      <c r="B13" t="s">
        <v>8</v>
      </c>
      <c r="C13" s="1">
        <v>43819</v>
      </c>
      <c r="D13">
        <v>2019</v>
      </c>
      <c r="E13">
        <v>12</v>
      </c>
      <c r="F13">
        <v>0</v>
      </c>
      <c r="G13" t="s">
        <v>9</v>
      </c>
    </row>
    <row r="14" spans="1:7" x14ac:dyDescent="0.25">
      <c r="A14" t="s">
        <v>7</v>
      </c>
      <c r="B14" t="s">
        <v>8</v>
      </c>
      <c r="C14" s="1">
        <v>43820</v>
      </c>
      <c r="D14">
        <v>2019</v>
      </c>
      <c r="E14">
        <v>12</v>
      </c>
      <c r="F14">
        <v>0</v>
      </c>
      <c r="G14" t="s">
        <v>9</v>
      </c>
    </row>
    <row r="15" spans="1:7" x14ac:dyDescent="0.25">
      <c r="A15" t="s">
        <v>7</v>
      </c>
      <c r="B15" t="s">
        <v>8</v>
      </c>
      <c r="C15" s="1">
        <v>43822</v>
      </c>
      <c r="D15">
        <v>2019</v>
      </c>
      <c r="E15">
        <v>12</v>
      </c>
      <c r="F15">
        <v>0</v>
      </c>
      <c r="G15" t="s">
        <v>9</v>
      </c>
    </row>
    <row r="16" spans="1:7" x14ac:dyDescent="0.25">
      <c r="A16" t="s">
        <v>7</v>
      </c>
      <c r="B16" t="s">
        <v>8</v>
      </c>
      <c r="C16" s="1">
        <v>43823</v>
      </c>
      <c r="D16">
        <v>2019</v>
      </c>
      <c r="E16">
        <v>12</v>
      </c>
      <c r="F16">
        <v>0.34076183700000001</v>
      </c>
      <c r="G16" t="s">
        <v>9</v>
      </c>
    </row>
    <row r="17" spans="1:7" x14ac:dyDescent="0.25">
      <c r="A17" t="s">
        <v>7</v>
      </c>
      <c r="B17" t="s">
        <v>8</v>
      </c>
      <c r="C17" s="1">
        <v>43827</v>
      </c>
      <c r="D17">
        <v>2019</v>
      </c>
      <c r="E17">
        <v>12</v>
      </c>
      <c r="F17">
        <v>0</v>
      </c>
      <c r="G17" t="s">
        <v>9</v>
      </c>
    </row>
    <row r="18" spans="1:7" x14ac:dyDescent="0.25">
      <c r="A18" t="s">
        <v>7</v>
      </c>
      <c r="B18" t="s">
        <v>8</v>
      </c>
      <c r="C18" s="1">
        <v>43533</v>
      </c>
      <c r="D18">
        <v>2019</v>
      </c>
      <c r="E18">
        <v>3</v>
      </c>
      <c r="F18">
        <v>0</v>
      </c>
      <c r="G18" t="s">
        <v>9</v>
      </c>
    </row>
    <row r="19" spans="1:7" x14ac:dyDescent="0.25">
      <c r="A19" t="s">
        <v>7</v>
      </c>
      <c r="B19" t="s">
        <v>8</v>
      </c>
      <c r="C19" s="1">
        <v>43644</v>
      </c>
      <c r="D19">
        <v>2019</v>
      </c>
      <c r="E19">
        <v>6</v>
      </c>
      <c r="F19">
        <v>0</v>
      </c>
      <c r="G19" t="s">
        <v>9</v>
      </c>
    </row>
    <row r="20" spans="1:7" x14ac:dyDescent="0.25">
      <c r="A20" t="s">
        <v>7</v>
      </c>
      <c r="B20" t="s">
        <v>8</v>
      </c>
      <c r="C20" s="1">
        <v>43689</v>
      </c>
      <c r="D20">
        <v>2019</v>
      </c>
      <c r="E20">
        <v>8</v>
      </c>
      <c r="F20">
        <v>0</v>
      </c>
      <c r="G20" t="s">
        <v>9</v>
      </c>
    </row>
    <row r="21" spans="1:7" x14ac:dyDescent="0.25">
      <c r="A21" t="s">
        <v>7</v>
      </c>
      <c r="B21" t="s">
        <v>8</v>
      </c>
      <c r="C21" s="1">
        <v>43712</v>
      </c>
      <c r="D21">
        <v>2019</v>
      </c>
      <c r="E21">
        <v>9</v>
      </c>
      <c r="F21">
        <v>5.9286709450000004</v>
      </c>
      <c r="G21" t="s">
        <v>9</v>
      </c>
    </row>
    <row r="22" spans="1:7" x14ac:dyDescent="0.25">
      <c r="A22" t="s">
        <v>7</v>
      </c>
      <c r="B22" t="s">
        <v>8</v>
      </c>
      <c r="C22" s="1">
        <v>43774</v>
      </c>
      <c r="D22">
        <v>2019</v>
      </c>
      <c r="E22">
        <v>11</v>
      </c>
      <c r="F22">
        <v>0</v>
      </c>
      <c r="G22" t="s">
        <v>9</v>
      </c>
    </row>
    <row r="23" spans="1:7" x14ac:dyDescent="0.25">
      <c r="A23" t="s">
        <v>7</v>
      </c>
      <c r="B23" t="s">
        <v>10</v>
      </c>
      <c r="C23" s="1">
        <v>43467</v>
      </c>
      <c r="D23">
        <v>2019</v>
      </c>
      <c r="E23">
        <v>1</v>
      </c>
      <c r="F23">
        <v>0</v>
      </c>
      <c r="G23" t="s">
        <v>9</v>
      </c>
    </row>
    <row r="24" spans="1:7" x14ac:dyDescent="0.25">
      <c r="A24" t="s">
        <v>7</v>
      </c>
      <c r="B24" t="s">
        <v>10</v>
      </c>
      <c r="C24" s="1">
        <v>43482</v>
      </c>
      <c r="D24">
        <v>2019</v>
      </c>
      <c r="E24">
        <v>1</v>
      </c>
      <c r="F24">
        <v>0</v>
      </c>
      <c r="G24" t="s">
        <v>9</v>
      </c>
    </row>
    <row r="25" spans="1:7" x14ac:dyDescent="0.25">
      <c r="A25" t="s">
        <v>7</v>
      </c>
      <c r="B25" t="s">
        <v>10</v>
      </c>
      <c r="C25" s="1">
        <v>43485</v>
      </c>
      <c r="D25">
        <v>2019</v>
      </c>
      <c r="E25">
        <v>1</v>
      </c>
      <c r="F25">
        <v>0</v>
      </c>
      <c r="G25" t="s">
        <v>9</v>
      </c>
    </row>
    <row r="26" spans="1:7" x14ac:dyDescent="0.25">
      <c r="A26" t="s">
        <v>7</v>
      </c>
      <c r="B26" t="s">
        <v>10</v>
      </c>
      <c r="C26" s="1">
        <v>43489</v>
      </c>
      <c r="D26">
        <v>2019</v>
      </c>
      <c r="E26">
        <v>1</v>
      </c>
      <c r="F26">
        <v>0</v>
      </c>
      <c r="G26" t="s">
        <v>9</v>
      </c>
    </row>
    <row r="27" spans="1:7" x14ac:dyDescent="0.25">
      <c r="A27" t="s">
        <v>7</v>
      </c>
      <c r="B27" t="s">
        <v>10</v>
      </c>
      <c r="C27" s="1">
        <v>43495</v>
      </c>
      <c r="D27">
        <v>2019</v>
      </c>
      <c r="E27">
        <v>1</v>
      </c>
      <c r="F27">
        <v>0</v>
      </c>
      <c r="G27" t="s">
        <v>9</v>
      </c>
    </row>
    <row r="28" spans="1:7" x14ac:dyDescent="0.25">
      <c r="A28" t="s">
        <v>7</v>
      </c>
      <c r="B28" t="s">
        <v>10</v>
      </c>
      <c r="C28" s="1">
        <v>43496</v>
      </c>
      <c r="D28">
        <v>2019</v>
      </c>
      <c r="E28">
        <v>1</v>
      </c>
      <c r="F28">
        <v>0</v>
      </c>
      <c r="G28" t="s">
        <v>9</v>
      </c>
    </row>
    <row r="29" spans="1:7" x14ac:dyDescent="0.25">
      <c r="A29" t="s">
        <v>7</v>
      </c>
      <c r="B29" t="s">
        <v>10</v>
      </c>
      <c r="C29" s="1">
        <v>43499</v>
      </c>
      <c r="D29">
        <v>2019</v>
      </c>
      <c r="E29">
        <v>2</v>
      </c>
      <c r="F29">
        <v>0</v>
      </c>
      <c r="G29" t="s">
        <v>9</v>
      </c>
    </row>
    <row r="30" spans="1:7" x14ac:dyDescent="0.25">
      <c r="A30" t="s">
        <v>7</v>
      </c>
      <c r="B30" t="s">
        <v>10</v>
      </c>
      <c r="C30" s="1">
        <v>43503</v>
      </c>
      <c r="D30">
        <v>2019</v>
      </c>
      <c r="E30">
        <v>2</v>
      </c>
      <c r="F30">
        <v>0</v>
      </c>
      <c r="G30" t="s">
        <v>9</v>
      </c>
    </row>
    <row r="31" spans="1:7" x14ac:dyDescent="0.25">
      <c r="A31" t="s">
        <v>7</v>
      </c>
      <c r="B31" t="s">
        <v>10</v>
      </c>
      <c r="C31" s="1">
        <v>43513</v>
      </c>
      <c r="D31">
        <v>2019</v>
      </c>
      <c r="E31">
        <v>2</v>
      </c>
      <c r="F31">
        <v>0</v>
      </c>
      <c r="G31" t="s">
        <v>9</v>
      </c>
    </row>
    <row r="32" spans="1:7" x14ac:dyDescent="0.25">
      <c r="A32" t="s">
        <v>7</v>
      </c>
      <c r="B32" t="s">
        <v>10</v>
      </c>
      <c r="C32" s="1">
        <v>43514</v>
      </c>
      <c r="D32">
        <v>2019</v>
      </c>
      <c r="E32">
        <v>2</v>
      </c>
      <c r="F32">
        <v>0</v>
      </c>
      <c r="G32" t="s">
        <v>9</v>
      </c>
    </row>
    <row r="33" spans="1:7" x14ac:dyDescent="0.25">
      <c r="A33" t="s">
        <v>7</v>
      </c>
      <c r="B33" t="s">
        <v>10</v>
      </c>
      <c r="C33" s="1">
        <v>43515</v>
      </c>
      <c r="D33">
        <v>2019</v>
      </c>
      <c r="E33">
        <v>2</v>
      </c>
      <c r="F33">
        <v>0</v>
      </c>
      <c r="G33" t="s">
        <v>9</v>
      </c>
    </row>
    <row r="34" spans="1:7" x14ac:dyDescent="0.25">
      <c r="A34" t="s">
        <v>7</v>
      </c>
      <c r="B34" t="s">
        <v>10</v>
      </c>
      <c r="C34" s="1">
        <v>43518</v>
      </c>
      <c r="D34">
        <v>2019</v>
      </c>
      <c r="E34">
        <v>2</v>
      </c>
      <c r="F34">
        <v>0</v>
      </c>
      <c r="G34" t="s">
        <v>9</v>
      </c>
    </row>
    <row r="35" spans="1:7" x14ac:dyDescent="0.25">
      <c r="A35" t="s">
        <v>7</v>
      </c>
      <c r="B35" t="s">
        <v>10</v>
      </c>
      <c r="C35" s="1">
        <v>43519</v>
      </c>
      <c r="D35">
        <v>2019</v>
      </c>
      <c r="E35">
        <v>2</v>
      </c>
      <c r="F35">
        <v>0</v>
      </c>
      <c r="G35" t="s">
        <v>9</v>
      </c>
    </row>
    <row r="36" spans="1:7" x14ac:dyDescent="0.25">
      <c r="A36" t="s">
        <v>7</v>
      </c>
      <c r="B36" t="s">
        <v>10</v>
      </c>
      <c r="C36" s="1">
        <v>43524</v>
      </c>
      <c r="D36">
        <v>2019</v>
      </c>
      <c r="E36">
        <v>2</v>
      </c>
      <c r="F36">
        <v>0</v>
      </c>
      <c r="G36" t="s">
        <v>9</v>
      </c>
    </row>
    <row r="37" spans="1:7" x14ac:dyDescent="0.25">
      <c r="A37" t="s">
        <v>7</v>
      </c>
      <c r="B37" t="s">
        <v>10</v>
      </c>
      <c r="C37" s="1">
        <v>43522</v>
      </c>
      <c r="D37">
        <v>2019</v>
      </c>
      <c r="E37">
        <v>2</v>
      </c>
      <c r="F37">
        <v>0</v>
      </c>
      <c r="G37" t="s">
        <v>9</v>
      </c>
    </row>
    <row r="38" spans="1:7" x14ac:dyDescent="0.25">
      <c r="A38" t="s">
        <v>7</v>
      </c>
      <c r="B38" t="s">
        <v>10</v>
      </c>
      <c r="C38" s="1">
        <v>43537</v>
      </c>
      <c r="D38">
        <v>2019</v>
      </c>
      <c r="E38">
        <v>3</v>
      </c>
      <c r="F38">
        <v>0</v>
      </c>
      <c r="G38" t="s">
        <v>9</v>
      </c>
    </row>
    <row r="39" spans="1:7" x14ac:dyDescent="0.25">
      <c r="A39" t="s">
        <v>7</v>
      </c>
      <c r="B39" t="s">
        <v>10</v>
      </c>
      <c r="C39" s="1">
        <v>43540</v>
      </c>
      <c r="D39">
        <v>2019</v>
      </c>
      <c r="E39">
        <v>3</v>
      </c>
      <c r="F39">
        <v>0</v>
      </c>
      <c r="G39" t="s">
        <v>9</v>
      </c>
    </row>
    <row r="40" spans="1:7" x14ac:dyDescent="0.25">
      <c r="A40" t="s">
        <v>7</v>
      </c>
      <c r="B40" t="s">
        <v>10</v>
      </c>
      <c r="C40" s="1">
        <v>43544</v>
      </c>
      <c r="D40">
        <v>2019</v>
      </c>
      <c r="E40">
        <v>3</v>
      </c>
      <c r="F40">
        <v>0</v>
      </c>
      <c r="G40" t="s">
        <v>9</v>
      </c>
    </row>
    <row r="41" spans="1:7" x14ac:dyDescent="0.25">
      <c r="A41" t="s">
        <v>7</v>
      </c>
      <c r="B41" t="s">
        <v>10</v>
      </c>
      <c r="C41" s="1">
        <v>43557</v>
      </c>
      <c r="D41">
        <v>2019</v>
      </c>
      <c r="E41">
        <v>4</v>
      </c>
      <c r="F41">
        <v>0</v>
      </c>
      <c r="G41" t="s">
        <v>9</v>
      </c>
    </row>
    <row r="42" spans="1:7" x14ac:dyDescent="0.25">
      <c r="A42" t="s">
        <v>7</v>
      </c>
      <c r="B42" t="s">
        <v>10</v>
      </c>
      <c r="C42" s="1">
        <v>43562</v>
      </c>
      <c r="D42">
        <v>2019</v>
      </c>
      <c r="E42">
        <v>4</v>
      </c>
      <c r="F42">
        <v>22.058139799999999</v>
      </c>
      <c r="G42" t="s">
        <v>9</v>
      </c>
    </row>
    <row r="43" spans="1:7" x14ac:dyDescent="0.25">
      <c r="A43" t="s">
        <v>7</v>
      </c>
      <c r="B43" t="s">
        <v>10</v>
      </c>
      <c r="C43" s="1">
        <v>43563</v>
      </c>
      <c r="D43">
        <v>2019</v>
      </c>
      <c r="E43">
        <v>4</v>
      </c>
      <c r="F43">
        <v>0</v>
      </c>
      <c r="G43" t="s">
        <v>9</v>
      </c>
    </row>
    <row r="44" spans="1:7" x14ac:dyDescent="0.25">
      <c r="A44" t="s">
        <v>7</v>
      </c>
      <c r="B44" t="s">
        <v>10</v>
      </c>
      <c r="C44" s="1">
        <v>43569</v>
      </c>
      <c r="D44">
        <v>2019</v>
      </c>
      <c r="E44">
        <v>4</v>
      </c>
      <c r="F44">
        <v>0</v>
      </c>
      <c r="G44" t="s">
        <v>9</v>
      </c>
    </row>
    <row r="45" spans="1:7" x14ac:dyDescent="0.25">
      <c r="A45" t="s">
        <v>7</v>
      </c>
      <c r="B45" t="s">
        <v>10</v>
      </c>
      <c r="C45" s="1">
        <v>43588</v>
      </c>
      <c r="D45">
        <v>2019</v>
      </c>
      <c r="E45">
        <v>5</v>
      </c>
      <c r="F45">
        <v>0</v>
      </c>
      <c r="G45" t="s">
        <v>9</v>
      </c>
    </row>
    <row r="46" spans="1:7" x14ac:dyDescent="0.25">
      <c r="A46" t="s">
        <v>7</v>
      </c>
      <c r="B46" t="s">
        <v>10</v>
      </c>
      <c r="C46" s="1">
        <v>43591</v>
      </c>
      <c r="D46">
        <v>2019</v>
      </c>
      <c r="E46">
        <v>5</v>
      </c>
      <c r="F46">
        <v>0</v>
      </c>
      <c r="G46" t="s">
        <v>9</v>
      </c>
    </row>
    <row r="47" spans="1:7" x14ac:dyDescent="0.25">
      <c r="A47" t="s">
        <v>7</v>
      </c>
      <c r="B47" t="s">
        <v>10</v>
      </c>
      <c r="C47" s="1">
        <v>43593</v>
      </c>
      <c r="D47">
        <v>2019</v>
      </c>
      <c r="E47">
        <v>5</v>
      </c>
      <c r="F47">
        <v>3.7355711459999998</v>
      </c>
      <c r="G47" t="s">
        <v>9</v>
      </c>
    </row>
    <row r="48" spans="1:7" x14ac:dyDescent="0.25">
      <c r="A48" t="s">
        <v>7</v>
      </c>
      <c r="B48" t="s">
        <v>10</v>
      </c>
      <c r="C48" s="1">
        <v>43595</v>
      </c>
      <c r="D48">
        <v>2019</v>
      </c>
      <c r="E48">
        <v>5</v>
      </c>
      <c r="F48">
        <v>0</v>
      </c>
      <c r="G48" t="s">
        <v>9</v>
      </c>
    </row>
    <row r="49" spans="1:7" x14ac:dyDescent="0.25">
      <c r="A49" t="s">
        <v>7</v>
      </c>
      <c r="B49" t="s">
        <v>10</v>
      </c>
      <c r="C49" s="1">
        <v>43601</v>
      </c>
      <c r="D49">
        <v>2019</v>
      </c>
      <c r="E49">
        <v>5</v>
      </c>
      <c r="F49">
        <v>7.2376689909999996</v>
      </c>
      <c r="G49" t="s">
        <v>9</v>
      </c>
    </row>
    <row r="50" spans="1:7" x14ac:dyDescent="0.25">
      <c r="A50" t="s">
        <v>7</v>
      </c>
      <c r="B50" t="s">
        <v>10</v>
      </c>
      <c r="C50" s="1">
        <v>43611</v>
      </c>
      <c r="D50">
        <v>2019</v>
      </c>
      <c r="E50">
        <v>5</v>
      </c>
      <c r="F50">
        <v>0</v>
      </c>
      <c r="G50" t="s">
        <v>9</v>
      </c>
    </row>
    <row r="51" spans="1:7" x14ac:dyDescent="0.25">
      <c r="A51" t="s">
        <v>7</v>
      </c>
      <c r="B51" t="s">
        <v>10</v>
      </c>
      <c r="C51" s="1">
        <v>43613</v>
      </c>
      <c r="D51">
        <v>2019</v>
      </c>
      <c r="E51">
        <v>5</v>
      </c>
      <c r="F51">
        <v>9.6891384120000001</v>
      </c>
      <c r="G51" t="s">
        <v>9</v>
      </c>
    </row>
    <row r="52" spans="1:7" x14ac:dyDescent="0.25">
      <c r="A52" t="s">
        <v>7</v>
      </c>
      <c r="B52" t="s">
        <v>10</v>
      </c>
      <c r="C52" s="1">
        <v>43617</v>
      </c>
      <c r="D52">
        <v>2019</v>
      </c>
      <c r="E52">
        <v>6</v>
      </c>
      <c r="F52">
        <v>0</v>
      </c>
      <c r="G52" t="s">
        <v>9</v>
      </c>
    </row>
    <row r="53" spans="1:7" x14ac:dyDescent="0.25">
      <c r="A53" t="s">
        <v>7</v>
      </c>
      <c r="B53" t="s">
        <v>10</v>
      </c>
      <c r="C53" s="1">
        <v>43623</v>
      </c>
      <c r="D53">
        <v>2019</v>
      </c>
      <c r="E53">
        <v>6</v>
      </c>
      <c r="F53">
        <v>14.3156929</v>
      </c>
      <c r="G53" t="s">
        <v>9</v>
      </c>
    </row>
    <row r="54" spans="1:7" x14ac:dyDescent="0.25">
      <c r="A54" t="s">
        <v>7</v>
      </c>
      <c r="B54" t="s">
        <v>10</v>
      </c>
      <c r="C54" s="1">
        <v>43624</v>
      </c>
      <c r="D54">
        <v>2019</v>
      </c>
      <c r="E54">
        <v>6</v>
      </c>
      <c r="F54">
        <v>0</v>
      </c>
      <c r="G54" t="s">
        <v>9</v>
      </c>
    </row>
    <row r="55" spans="1:7" x14ac:dyDescent="0.25">
      <c r="A55" t="s">
        <v>7</v>
      </c>
      <c r="B55" t="s">
        <v>10</v>
      </c>
      <c r="C55" s="1">
        <v>43632</v>
      </c>
      <c r="D55">
        <v>2019</v>
      </c>
      <c r="E55">
        <v>6</v>
      </c>
      <c r="F55">
        <v>0</v>
      </c>
      <c r="G55" t="s">
        <v>9</v>
      </c>
    </row>
    <row r="56" spans="1:7" x14ac:dyDescent="0.25">
      <c r="A56" t="s">
        <v>7</v>
      </c>
      <c r="B56" t="s">
        <v>10</v>
      </c>
      <c r="C56" s="1">
        <v>43640</v>
      </c>
      <c r="D56">
        <v>2019</v>
      </c>
      <c r="E56">
        <v>6</v>
      </c>
      <c r="F56">
        <v>3.9378695490000002</v>
      </c>
      <c r="G56" t="s">
        <v>9</v>
      </c>
    </row>
    <row r="57" spans="1:7" x14ac:dyDescent="0.25">
      <c r="A57" t="s">
        <v>7</v>
      </c>
      <c r="B57" t="s">
        <v>10</v>
      </c>
      <c r="C57" s="1">
        <v>43641</v>
      </c>
      <c r="D57">
        <v>2019</v>
      </c>
      <c r="E57">
        <v>6</v>
      </c>
      <c r="F57">
        <v>13.342579840000001</v>
      </c>
      <c r="G57" t="s">
        <v>9</v>
      </c>
    </row>
    <row r="58" spans="1:7" x14ac:dyDescent="0.25">
      <c r="A58" t="s">
        <v>7</v>
      </c>
      <c r="B58" t="s">
        <v>10</v>
      </c>
      <c r="C58" s="1">
        <v>43644</v>
      </c>
      <c r="D58">
        <v>2019</v>
      </c>
      <c r="E58">
        <v>6</v>
      </c>
      <c r="F58">
        <v>0</v>
      </c>
      <c r="G58" t="s">
        <v>9</v>
      </c>
    </row>
    <row r="59" spans="1:7" x14ac:dyDescent="0.25">
      <c r="A59" t="s">
        <v>7</v>
      </c>
      <c r="B59" t="s">
        <v>10</v>
      </c>
      <c r="C59" s="1">
        <v>43648</v>
      </c>
      <c r="D59">
        <v>2019</v>
      </c>
      <c r="E59">
        <v>7</v>
      </c>
      <c r="F59">
        <v>0.92119419599999997</v>
      </c>
      <c r="G59" t="s">
        <v>9</v>
      </c>
    </row>
    <row r="60" spans="1:7" x14ac:dyDescent="0.25">
      <c r="A60" t="s">
        <v>7</v>
      </c>
      <c r="B60" t="s">
        <v>10</v>
      </c>
      <c r="C60" s="1">
        <v>43650</v>
      </c>
      <c r="D60">
        <v>2019</v>
      </c>
      <c r="E60">
        <v>7</v>
      </c>
      <c r="F60">
        <v>1.40083921</v>
      </c>
      <c r="G60" t="s">
        <v>9</v>
      </c>
    </row>
    <row r="61" spans="1:7" x14ac:dyDescent="0.25">
      <c r="A61" t="s">
        <v>7</v>
      </c>
      <c r="B61" t="s">
        <v>10</v>
      </c>
      <c r="C61" s="1">
        <v>43651</v>
      </c>
      <c r="D61">
        <v>2019</v>
      </c>
      <c r="E61">
        <v>7</v>
      </c>
      <c r="F61">
        <v>2.1791501050000002</v>
      </c>
      <c r="G61" t="s">
        <v>9</v>
      </c>
    </row>
    <row r="62" spans="1:7" x14ac:dyDescent="0.25">
      <c r="A62" t="s">
        <v>7</v>
      </c>
      <c r="B62" t="s">
        <v>10</v>
      </c>
      <c r="C62" s="1">
        <v>43655</v>
      </c>
      <c r="D62">
        <v>2019</v>
      </c>
      <c r="E62">
        <v>7</v>
      </c>
      <c r="F62">
        <v>8.5629405980000008</v>
      </c>
      <c r="G62" t="s">
        <v>9</v>
      </c>
    </row>
    <row r="63" spans="1:7" x14ac:dyDescent="0.25">
      <c r="A63" t="s">
        <v>7</v>
      </c>
      <c r="B63" t="s">
        <v>10</v>
      </c>
      <c r="C63" s="1">
        <v>43659</v>
      </c>
      <c r="D63">
        <v>2019</v>
      </c>
      <c r="E63">
        <v>7</v>
      </c>
      <c r="F63">
        <v>0</v>
      </c>
      <c r="G63" t="s">
        <v>9</v>
      </c>
    </row>
    <row r="64" spans="1:7" x14ac:dyDescent="0.25">
      <c r="A64" t="s">
        <v>7</v>
      </c>
      <c r="B64" t="s">
        <v>10</v>
      </c>
      <c r="C64" s="1">
        <v>43665</v>
      </c>
      <c r="D64">
        <v>2019</v>
      </c>
      <c r="E64">
        <v>7</v>
      </c>
      <c r="F64">
        <v>0.82814651699999997</v>
      </c>
      <c r="G64" t="s">
        <v>9</v>
      </c>
    </row>
    <row r="65" spans="1:7" x14ac:dyDescent="0.25">
      <c r="A65" t="s">
        <v>7</v>
      </c>
      <c r="B65" t="s">
        <v>10</v>
      </c>
      <c r="C65" s="1">
        <v>43666</v>
      </c>
      <c r="D65">
        <v>2019</v>
      </c>
      <c r="E65">
        <v>7</v>
      </c>
      <c r="F65">
        <v>6.9275650979999996</v>
      </c>
      <c r="G65" t="s">
        <v>9</v>
      </c>
    </row>
    <row r="66" spans="1:7" x14ac:dyDescent="0.25">
      <c r="A66" t="s">
        <v>7</v>
      </c>
      <c r="B66" t="s">
        <v>10</v>
      </c>
      <c r="C66" s="1">
        <v>43668</v>
      </c>
      <c r="D66">
        <v>2019</v>
      </c>
      <c r="E66">
        <v>7</v>
      </c>
      <c r="F66">
        <v>0</v>
      </c>
      <c r="G66" t="s">
        <v>9</v>
      </c>
    </row>
    <row r="67" spans="1:7" x14ac:dyDescent="0.25">
      <c r="A67" t="s">
        <v>7</v>
      </c>
      <c r="B67" t="s">
        <v>10</v>
      </c>
      <c r="C67" s="1">
        <v>43670</v>
      </c>
      <c r="D67">
        <v>2019</v>
      </c>
      <c r="E67">
        <v>7</v>
      </c>
      <c r="F67">
        <v>1.8677855729999999</v>
      </c>
      <c r="G67" t="s">
        <v>9</v>
      </c>
    </row>
    <row r="68" spans="1:7" x14ac:dyDescent="0.25">
      <c r="A68" t="s">
        <v>7</v>
      </c>
      <c r="B68" t="s">
        <v>10</v>
      </c>
      <c r="C68" s="1">
        <v>43671</v>
      </c>
      <c r="D68">
        <v>2019</v>
      </c>
      <c r="E68">
        <v>7</v>
      </c>
      <c r="F68">
        <v>3.4054086209999999</v>
      </c>
      <c r="G68" t="s">
        <v>9</v>
      </c>
    </row>
    <row r="69" spans="1:7" x14ac:dyDescent="0.25">
      <c r="A69" t="s">
        <v>7</v>
      </c>
      <c r="B69" t="s">
        <v>10</v>
      </c>
      <c r="C69" s="1">
        <v>43673</v>
      </c>
      <c r="D69">
        <v>2019</v>
      </c>
      <c r="E69">
        <v>7</v>
      </c>
      <c r="F69">
        <v>25.54196739</v>
      </c>
      <c r="G69" t="s">
        <v>9</v>
      </c>
    </row>
    <row r="70" spans="1:7" x14ac:dyDescent="0.25">
      <c r="A70" t="s">
        <v>7</v>
      </c>
      <c r="B70" t="s">
        <v>10</v>
      </c>
      <c r="C70" s="1">
        <v>43677</v>
      </c>
      <c r="D70">
        <v>2019</v>
      </c>
      <c r="E70">
        <v>7</v>
      </c>
      <c r="F70">
        <v>2.3931002619999999</v>
      </c>
      <c r="G70" t="s">
        <v>9</v>
      </c>
    </row>
    <row r="71" spans="1:7" x14ac:dyDescent="0.25">
      <c r="A71" t="s">
        <v>7</v>
      </c>
      <c r="B71" t="s">
        <v>10</v>
      </c>
      <c r="C71" s="1">
        <v>43680</v>
      </c>
      <c r="D71">
        <v>2019</v>
      </c>
      <c r="E71">
        <v>8</v>
      </c>
      <c r="F71">
        <v>25.499456410000001</v>
      </c>
      <c r="G71" t="s">
        <v>9</v>
      </c>
    </row>
    <row r="72" spans="1:7" x14ac:dyDescent="0.25">
      <c r="A72" t="s">
        <v>7</v>
      </c>
      <c r="B72" t="s">
        <v>10</v>
      </c>
      <c r="C72" s="1">
        <v>43683</v>
      </c>
      <c r="D72">
        <v>2019</v>
      </c>
      <c r="E72">
        <v>8</v>
      </c>
      <c r="F72">
        <v>9.0058860779999996</v>
      </c>
      <c r="G72" t="s">
        <v>9</v>
      </c>
    </row>
    <row r="73" spans="1:7" x14ac:dyDescent="0.25">
      <c r="A73" t="s">
        <v>7</v>
      </c>
      <c r="B73" t="s">
        <v>10</v>
      </c>
      <c r="C73" s="1">
        <v>43687</v>
      </c>
      <c r="D73">
        <v>2019</v>
      </c>
      <c r="E73">
        <v>8</v>
      </c>
      <c r="F73">
        <v>1.40083921</v>
      </c>
      <c r="G73" t="s">
        <v>9</v>
      </c>
    </row>
    <row r="74" spans="1:7" x14ac:dyDescent="0.25">
      <c r="A74" t="s">
        <v>7</v>
      </c>
      <c r="B74" t="s">
        <v>10</v>
      </c>
      <c r="C74" s="1">
        <v>43689</v>
      </c>
      <c r="D74">
        <v>2019</v>
      </c>
      <c r="E74">
        <v>8</v>
      </c>
      <c r="F74">
        <v>0</v>
      </c>
      <c r="G74" t="s">
        <v>9</v>
      </c>
    </row>
    <row r="75" spans="1:7" x14ac:dyDescent="0.25">
      <c r="A75" t="s">
        <v>7</v>
      </c>
      <c r="B75" t="s">
        <v>10</v>
      </c>
      <c r="C75" s="1">
        <v>43694</v>
      </c>
      <c r="D75">
        <v>2019</v>
      </c>
      <c r="E75">
        <v>8</v>
      </c>
      <c r="F75">
        <v>0</v>
      </c>
      <c r="G75" t="s">
        <v>9</v>
      </c>
    </row>
    <row r="76" spans="1:7" x14ac:dyDescent="0.25">
      <c r="A76" t="s">
        <v>7</v>
      </c>
      <c r="B76" t="s">
        <v>10</v>
      </c>
      <c r="C76" s="1">
        <v>43696</v>
      </c>
      <c r="D76">
        <v>2019</v>
      </c>
      <c r="E76">
        <v>8</v>
      </c>
      <c r="F76">
        <v>14.83800125</v>
      </c>
      <c r="G76" t="s">
        <v>9</v>
      </c>
    </row>
    <row r="77" spans="1:7" x14ac:dyDescent="0.25">
      <c r="A77" t="s">
        <v>7</v>
      </c>
      <c r="B77" t="s">
        <v>10</v>
      </c>
      <c r="C77" s="1">
        <v>43701</v>
      </c>
      <c r="D77">
        <v>2019</v>
      </c>
      <c r="E77">
        <v>8</v>
      </c>
      <c r="F77">
        <v>8.587625504</v>
      </c>
      <c r="G77" t="s">
        <v>9</v>
      </c>
    </row>
    <row r="78" spans="1:7" x14ac:dyDescent="0.25">
      <c r="A78" t="s">
        <v>7</v>
      </c>
      <c r="B78" t="s">
        <v>10</v>
      </c>
      <c r="C78" s="1">
        <v>43704</v>
      </c>
      <c r="D78">
        <v>2019</v>
      </c>
      <c r="E78">
        <v>8</v>
      </c>
      <c r="F78">
        <v>0</v>
      </c>
      <c r="G78" t="s">
        <v>9</v>
      </c>
    </row>
    <row r="79" spans="1:7" x14ac:dyDescent="0.25">
      <c r="A79" t="s">
        <v>7</v>
      </c>
      <c r="B79" t="s">
        <v>10</v>
      </c>
      <c r="C79" s="1">
        <v>43705</v>
      </c>
      <c r="D79">
        <v>2019</v>
      </c>
      <c r="E79">
        <v>8</v>
      </c>
      <c r="F79">
        <v>0</v>
      </c>
      <c r="G79" t="s">
        <v>9</v>
      </c>
    </row>
    <row r="80" spans="1:7" x14ac:dyDescent="0.25">
      <c r="A80" t="s">
        <v>7</v>
      </c>
      <c r="B80" t="s">
        <v>10</v>
      </c>
      <c r="C80" s="1">
        <v>43706</v>
      </c>
      <c r="D80">
        <v>2019</v>
      </c>
      <c r="E80">
        <v>8</v>
      </c>
      <c r="F80">
        <v>0</v>
      </c>
      <c r="G80" t="s">
        <v>9</v>
      </c>
    </row>
    <row r="81" spans="1:7" x14ac:dyDescent="0.25">
      <c r="A81" t="s">
        <v>7</v>
      </c>
      <c r="B81" t="s">
        <v>10</v>
      </c>
      <c r="C81" s="1">
        <v>43709</v>
      </c>
      <c r="D81">
        <v>2019</v>
      </c>
      <c r="E81">
        <v>9</v>
      </c>
      <c r="F81">
        <v>0.54594820700000002</v>
      </c>
      <c r="G81" t="s">
        <v>9</v>
      </c>
    </row>
    <row r="82" spans="1:7" x14ac:dyDescent="0.25">
      <c r="A82" t="s">
        <v>7</v>
      </c>
      <c r="B82" t="s">
        <v>10</v>
      </c>
      <c r="C82" s="1">
        <v>43722</v>
      </c>
      <c r="D82">
        <v>2019</v>
      </c>
      <c r="E82">
        <v>9</v>
      </c>
      <c r="F82">
        <v>0.86698371200000002</v>
      </c>
      <c r="G82" t="s">
        <v>9</v>
      </c>
    </row>
    <row r="83" spans="1:7" x14ac:dyDescent="0.25">
      <c r="A83" t="s">
        <v>7</v>
      </c>
      <c r="B83" t="s">
        <v>10</v>
      </c>
      <c r="C83" s="1">
        <v>43743</v>
      </c>
      <c r="D83">
        <v>2019</v>
      </c>
      <c r="E83">
        <v>10</v>
      </c>
      <c r="F83">
        <v>0</v>
      </c>
      <c r="G83" t="s">
        <v>9</v>
      </c>
    </row>
    <row r="84" spans="1:7" x14ac:dyDescent="0.25">
      <c r="A84" t="s">
        <v>7</v>
      </c>
      <c r="B84" t="s">
        <v>10</v>
      </c>
      <c r="C84" s="1">
        <v>43747</v>
      </c>
      <c r="D84">
        <v>2019</v>
      </c>
      <c r="E84">
        <v>10</v>
      </c>
      <c r="F84">
        <v>1.8677855729999999</v>
      </c>
      <c r="G84" t="s">
        <v>9</v>
      </c>
    </row>
    <row r="85" spans="1:7" x14ac:dyDescent="0.25">
      <c r="A85" t="s">
        <v>7</v>
      </c>
      <c r="B85" t="s">
        <v>10</v>
      </c>
      <c r="C85" s="1">
        <v>43754</v>
      </c>
      <c r="D85">
        <v>2019</v>
      </c>
      <c r="E85">
        <v>10</v>
      </c>
      <c r="F85">
        <v>2.704989195</v>
      </c>
      <c r="G85" t="s">
        <v>9</v>
      </c>
    </row>
    <row r="86" spans="1:7" x14ac:dyDescent="0.25">
      <c r="A86" t="s">
        <v>7</v>
      </c>
      <c r="B86" t="s">
        <v>10</v>
      </c>
      <c r="C86" s="1">
        <v>43762</v>
      </c>
      <c r="D86">
        <v>2019</v>
      </c>
      <c r="E86">
        <v>10</v>
      </c>
      <c r="F86">
        <v>53.935123439999998</v>
      </c>
      <c r="G86" t="s">
        <v>9</v>
      </c>
    </row>
    <row r="87" spans="1:7" x14ac:dyDescent="0.25">
      <c r="A87" t="s">
        <v>7</v>
      </c>
      <c r="B87" t="s">
        <v>10</v>
      </c>
      <c r="C87" s="1">
        <v>43768</v>
      </c>
      <c r="D87">
        <v>2019</v>
      </c>
      <c r="E87">
        <v>10</v>
      </c>
      <c r="F87">
        <v>1.196269751</v>
      </c>
      <c r="G87" t="s">
        <v>9</v>
      </c>
    </row>
    <row r="88" spans="1:7" x14ac:dyDescent="0.25">
      <c r="A88" t="s">
        <v>7</v>
      </c>
      <c r="B88" t="s">
        <v>10</v>
      </c>
      <c r="C88" s="1">
        <v>43769</v>
      </c>
      <c r="D88">
        <v>2019</v>
      </c>
      <c r="E88">
        <v>10</v>
      </c>
      <c r="F88">
        <v>0</v>
      </c>
      <c r="G88" t="s">
        <v>9</v>
      </c>
    </row>
    <row r="89" spans="1:7" x14ac:dyDescent="0.25">
      <c r="A89" t="s">
        <v>7</v>
      </c>
      <c r="B89" t="s">
        <v>10</v>
      </c>
      <c r="C89" s="1">
        <v>43770</v>
      </c>
      <c r="D89">
        <v>2019</v>
      </c>
      <c r="E89">
        <v>11</v>
      </c>
      <c r="F89">
        <v>1.0180606839999999</v>
      </c>
      <c r="G89" t="s">
        <v>9</v>
      </c>
    </row>
    <row r="90" spans="1:7" x14ac:dyDescent="0.25">
      <c r="A90" t="s">
        <v>7</v>
      </c>
      <c r="B90" t="s">
        <v>10</v>
      </c>
      <c r="C90" s="1">
        <v>43787</v>
      </c>
      <c r="D90">
        <v>2019</v>
      </c>
      <c r="E90">
        <v>11</v>
      </c>
      <c r="F90">
        <v>0</v>
      </c>
      <c r="G90" t="s">
        <v>9</v>
      </c>
    </row>
    <row r="91" spans="1:7" x14ac:dyDescent="0.25">
      <c r="A91" t="s">
        <v>7</v>
      </c>
      <c r="B91" t="s">
        <v>10</v>
      </c>
      <c r="C91" s="1">
        <v>43800</v>
      </c>
      <c r="D91">
        <v>2019</v>
      </c>
      <c r="E91">
        <v>12</v>
      </c>
      <c r="F91">
        <v>0</v>
      </c>
      <c r="G91" t="s">
        <v>9</v>
      </c>
    </row>
    <row r="92" spans="1:7" x14ac:dyDescent="0.25">
      <c r="A92" t="s">
        <v>7</v>
      </c>
      <c r="B92" t="s">
        <v>10</v>
      </c>
      <c r="C92" s="1">
        <v>43801</v>
      </c>
      <c r="D92">
        <v>2019</v>
      </c>
      <c r="E92">
        <v>12</v>
      </c>
      <c r="F92">
        <v>0</v>
      </c>
      <c r="G92" t="s">
        <v>9</v>
      </c>
    </row>
    <row r="93" spans="1:7" x14ac:dyDescent="0.25">
      <c r="A93" t="s">
        <v>7</v>
      </c>
      <c r="B93" t="s">
        <v>10</v>
      </c>
      <c r="C93" s="1">
        <v>43809</v>
      </c>
      <c r="D93">
        <v>2019</v>
      </c>
      <c r="E93">
        <v>12</v>
      </c>
      <c r="F93">
        <v>0</v>
      </c>
      <c r="G93" t="s">
        <v>9</v>
      </c>
    </row>
    <row r="94" spans="1:7" x14ac:dyDescent="0.25">
      <c r="A94" t="s">
        <v>7</v>
      </c>
      <c r="B94" t="s">
        <v>10</v>
      </c>
      <c r="C94" s="1">
        <v>43812</v>
      </c>
      <c r="D94">
        <v>2019</v>
      </c>
      <c r="E94">
        <v>12</v>
      </c>
      <c r="F94">
        <v>0</v>
      </c>
      <c r="G94" t="s">
        <v>9</v>
      </c>
    </row>
    <row r="95" spans="1:7" x14ac:dyDescent="0.25">
      <c r="A95" t="s">
        <v>7</v>
      </c>
      <c r="B95" t="s">
        <v>10</v>
      </c>
      <c r="C95" s="1">
        <v>43816</v>
      </c>
      <c r="D95">
        <v>2019</v>
      </c>
      <c r="E95">
        <v>12</v>
      </c>
      <c r="F95">
        <v>0</v>
      </c>
      <c r="G95" t="s">
        <v>9</v>
      </c>
    </row>
    <row r="96" spans="1:7" x14ac:dyDescent="0.25">
      <c r="A96" t="s">
        <v>7</v>
      </c>
      <c r="B96" t="s">
        <v>10</v>
      </c>
      <c r="C96" s="1">
        <v>43821</v>
      </c>
      <c r="D96">
        <v>2019</v>
      </c>
      <c r="E96">
        <v>12</v>
      </c>
      <c r="F96">
        <v>0</v>
      </c>
      <c r="G96" t="s">
        <v>9</v>
      </c>
    </row>
    <row r="97" spans="1:7" x14ac:dyDescent="0.25">
      <c r="A97" t="s">
        <v>7</v>
      </c>
      <c r="B97" t="s">
        <v>10</v>
      </c>
      <c r="C97" s="1">
        <v>43830</v>
      </c>
      <c r="D97">
        <v>2019</v>
      </c>
      <c r="E97">
        <v>12</v>
      </c>
      <c r="F97">
        <v>0</v>
      </c>
      <c r="G97" t="s">
        <v>9</v>
      </c>
    </row>
    <row r="98" spans="1:7" x14ac:dyDescent="0.25">
      <c r="A98" t="s">
        <v>7</v>
      </c>
      <c r="B98" t="s">
        <v>11</v>
      </c>
      <c r="C98" s="1">
        <v>43563</v>
      </c>
      <c r="D98">
        <v>2019</v>
      </c>
      <c r="E98">
        <v>4</v>
      </c>
      <c r="F98">
        <v>0</v>
      </c>
      <c r="G98" t="s">
        <v>9</v>
      </c>
    </row>
    <row r="99" spans="1:7" x14ac:dyDescent="0.25">
      <c r="A99" t="s">
        <v>7</v>
      </c>
      <c r="B99" t="s">
        <v>11</v>
      </c>
      <c r="C99" s="1">
        <v>43565</v>
      </c>
      <c r="D99">
        <v>2019</v>
      </c>
      <c r="E99">
        <v>4</v>
      </c>
      <c r="F99">
        <v>0</v>
      </c>
      <c r="G99" t="s">
        <v>9</v>
      </c>
    </row>
    <row r="100" spans="1:7" x14ac:dyDescent="0.25">
      <c r="A100" t="s">
        <v>7</v>
      </c>
      <c r="B100" t="s">
        <v>11</v>
      </c>
      <c r="C100" s="1">
        <v>43571</v>
      </c>
      <c r="D100">
        <v>2019</v>
      </c>
      <c r="E100">
        <v>4</v>
      </c>
      <c r="F100">
        <v>0</v>
      </c>
      <c r="G100" t="s">
        <v>9</v>
      </c>
    </row>
    <row r="101" spans="1:7" x14ac:dyDescent="0.25">
      <c r="A101" t="s">
        <v>7</v>
      </c>
      <c r="B101" t="s">
        <v>11</v>
      </c>
      <c r="C101" s="1">
        <v>43572</v>
      </c>
      <c r="D101">
        <v>2019</v>
      </c>
      <c r="E101">
        <v>4</v>
      </c>
      <c r="F101">
        <v>0</v>
      </c>
      <c r="G101" t="s">
        <v>9</v>
      </c>
    </row>
    <row r="102" spans="1:7" x14ac:dyDescent="0.25">
      <c r="A102" t="s">
        <v>7</v>
      </c>
      <c r="B102" t="s">
        <v>11</v>
      </c>
      <c r="C102" s="1">
        <v>43573</v>
      </c>
      <c r="D102">
        <v>2019</v>
      </c>
      <c r="E102">
        <v>4</v>
      </c>
      <c r="F102">
        <v>0</v>
      </c>
      <c r="G102" t="s">
        <v>9</v>
      </c>
    </row>
    <row r="103" spans="1:7" x14ac:dyDescent="0.25">
      <c r="A103" t="s">
        <v>7</v>
      </c>
      <c r="B103" t="s">
        <v>11</v>
      </c>
      <c r="C103" s="1">
        <v>43574</v>
      </c>
      <c r="D103">
        <v>2019</v>
      </c>
      <c r="E103">
        <v>4</v>
      </c>
      <c r="F103">
        <v>0</v>
      </c>
      <c r="G103" t="s">
        <v>9</v>
      </c>
    </row>
    <row r="104" spans="1:7" x14ac:dyDescent="0.25">
      <c r="A104" t="s">
        <v>7</v>
      </c>
      <c r="B104" t="s">
        <v>11</v>
      </c>
      <c r="C104" s="1">
        <v>43575</v>
      </c>
      <c r="D104">
        <v>2019</v>
      </c>
      <c r="E104">
        <v>4</v>
      </c>
      <c r="F104">
        <v>0.101221874</v>
      </c>
      <c r="G104" t="s">
        <v>9</v>
      </c>
    </row>
    <row r="105" spans="1:7" x14ac:dyDescent="0.25">
      <c r="A105" t="s">
        <v>7</v>
      </c>
      <c r="B105" t="s">
        <v>11</v>
      </c>
      <c r="C105" s="1">
        <v>43577</v>
      </c>
      <c r="D105">
        <v>2019</v>
      </c>
      <c r="E105">
        <v>4</v>
      </c>
      <c r="F105">
        <v>0</v>
      </c>
      <c r="G105" t="s">
        <v>9</v>
      </c>
    </row>
    <row r="106" spans="1:7" x14ac:dyDescent="0.25">
      <c r="A106" t="s">
        <v>7</v>
      </c>
      <c r="B106" t="s">
        <v>11</v>
      </c>
      <c r="C106" s="1">
        <v>43578</v>
      </c>
      <c r="D106">
        <v>2019</v>
      </c>
      <c r="E106">
        <v>4</v>
      </c>
      <c r="F106">
        <v>0</v>
      </c>
      <c r="G106" t="s">
        <v>9</v>
      </c>
    </row>
    <row r="107" spans="1:7" x14ac:dyDescent="0.25">
      <c r="A107" t="s">
        <v>7</v>
      </c>
      <c r="B107" t="s">
        <v>11</v>
      </c>
      <c r="C107" s="1">
        <v>43586</v>
      </c>
      <c r="D107">
        <v>2019</v>
      </c>
      <c r="E107">
        <v>5</v>
      </c>
      <c r="F107">
        <v>0</v>
      </c>
      <c r="G107" t="s">
        <v>9</v>
      </c>
    </row>
    <row r="108" spans="1:7" x14ac:dyDescent="0.25">
      <c r="A108" t="s">
        <v>7</v>
      </c>
      <c r="B108" t="s">
        <v>11</v>
      </c>
      <c r="C108" s="1">
        <v>43587</v>
      </c>
      <c r="D108">
        <v>2019</v>
      </c>
      <c r="E108">
        <v>5</v>
      </c>
      <c r="F108">
        <v>0</v>
      </c>
      <c r="G108" t="s">
        <v>9</v>
      </c>
    </row>
    <row r="109" spans="1:7" x14ac:dyDescent="0.25">
      <c r="A109" t="s">
        <v>7</v>
      </c>
      <c r="B109" t="s">
        <v>11</v>
      </c>
      <c r="C109" s="1">
        <v>43590</v>
      </c>
      <c r="D109">
        <v>2019</v>
      </c>
      <c r="E109">
        <v>5</v>
      </c>
      <c r="F109">
        <v>0</v>
      </c>
      <c r="G109" t="s">
        <v>9</v>
      </c>
    </row>
    <row r="110" spans="1:7" x14ac:dyDescent="0.25">
      <c r="A110" t="s">
        <v>7</v>
      </c>
      <c r="B110" t="s">
        <v>11</v>
      </c>
      <c r="C110" s="1">
        <v>43604</v>
      </c>
      <c r="D110">
        <v>2019</v>
      </c>
      <c r="E110">
        <v>5</v>
      </c>
      <c r="F110">
        <v>0</v>
      </c>
      <c r="G110" t="s">
        <v>9</v>
      </c>
    </row>
    <row r="111" spans="1:7" x14ac:dyDescent="0.25">
      <c r="A111" t="s">
        <v>7</v>
      </c>
      <c r="B111" t="s">
        <v>11</v>
      </c>
      <c r="C111" s="1">
        <v>43611</v>
      </c>
      <c r="D111">
        <v>2019</v>
      </c>
      <c r="E111">
        <v>5</v>
      </c>
      <c r="F111">
        <v>0</v>
      </c>
      <c r="G111" t="s">
        <v>9</v>
      </c>
    </row>
    <row r="112" spans="1:7" x14ac:dyDescent="0.25">
      <c r="A112" t="s">
        <v>7</v>
      </c>
      <c r="B112" t="s">
        <v>11</v>
      </c>
      <c r="C112" s="1">
        <v>43629</v>
      </c>
      <c r="D112">
        <v>2019</v>
      </c>
      <c r="E112">
        <v>6</v>
      </c>
      <c r="F112">
        <v>0</v>
      </c>
      <c r="G112" t="s">
        <v>9</v>
      </c>
    </row>
    <row r="113" spans="1:7" x14ac:dyDescent="0.25">
      <c r="A113" t="s">
        <v>7</v>
      </c>
      <c r="B113" t="s">
        <v>11</v>
      </c>
      <c r="C113" s="1">
        <v>43640</v>
      </c>
      <c r="D113">
        <v>2019</v>
      </c>
      <c r="E113">
        <v>6</v>
      </c>
      <c r="F113">
        <v>0</v>
      </c>
      <c r="G113" t="s">
        <v>9</v>
      </c>
    </row>
    <row r="114" spans="1:7" x14ac:dyDescent="0.25">
      <c r="A114" t="s">
        <v>7</v>
      </c>
      <c r="B114" t="s">
        <v>11</v>
      </c>
      <c r="C114" s="1">
        <v>43642</v>
      </c>
      <c r="D114">
        <v>2019</v>
      </c>
      <c r="E114">
        <v>6</v>
      </c>
      <c r="F114">
        <v>1.4651176530000001</v>
      </c>
      <c r="G114" t="s">
        <v>9</v>
      </c>
    </row>
    <row r="115" spans="1:7" x14ac:dyDescent="0.25">
      <c r="A115" t="s">
        <v>7</v>
      </c>
      <c r="B115" t="s">
        <v>11</v>
      </c>
      <c r="C115" s="1">
        <v>43644</v>
      </c>
      <c r="D115">
        <v>2019</v>
      </c>
      <c r="E115">
        <v>6</v>
      </c>
      <c r="F115">
        <v>0</v>
      </c>
      <c r="G115" t="s">
        <v>9</v>
      </c>
    </row>
    <row r="116" spans="1:7" x14ac:dyDescent="0.25">
      <c r="A116" t="s">
        <v>7</v>
      </c>
      <c r="B116" t="s">
        <v>11</v>
      </c>
      <c r="C116" s="1">
        <v>43646</v>
      </c>
      <c r="D116">
        <v>2019</v>
      </c>
      <c r="E116">
        <v>6</v>
      </c>
      <c r="F116">
        <v>0</v>
      </c>
      <c r="G116" t="s">
        <v>9</v>
      </c>
    </row>
    <row r="117" spans="1:7" x14ac:dyDescent="0.25">
      <c r="A117" t="s">
        <v>7</v>
      </c>
      <c r="B117" t="s">
        <v>11</v>
      </c>
      <c r="C117" s="1">
        <v>43648</v>
      </c>
      <c r="D117">
        <v>2019</v>
      </c>
      <c r="E117">
        <v>7</v>
      </c>
      <c r="F117">
        <v>0</v>
      </c>
      <c r="G117" t="s">
        <v>9</v>
      </c>
    </row>
    <row r="118" spans="1:7" x14ac:dyDescent="0.25">
      <c r="A118" t="s">
        <v>7</v>
      </c>
      <c r="B118" t="s">
        <v>11</v>
      </c>
      <c r="C118" s="1">
        <v>43651</v>
      </c>
      <c r="D118">
        <v>2019</v>
      </c>
      <c r="E118">
        <v>7</v>
      </c>
      <c r="F118">
        <v>0</v>
      </c>
      <c r="G118" t="s">
        <v>9</v>
      </c>
    </row>
    <row r="119" spans="1:7" x14ac:dyDescent="0.25">
      <c r="A119" t="s">
        <v>7</v>
      </c>
      <c r="B119" t="s">
        <v>11</v>
      </c>
      <c r="C119" s="1">
        <v>43653</v>
      </c>
      <c r="D119">
        <v>2019</v>
      </c>
      <c r="E119">
        <v>7</v>
      </c>
      <c r="F119">
        <v>0</v>
      </c>
      <c r="G119" t="s">
        <v>9</v>
      </c>
    </row>
    <row r="120" spans="1:7" x14ac:dyDescent="0.25">
      <c r="A120" t="s">
        <v>7</v>
      </c>
      <c r="B120" t="s">
        <v>11</v>
      </c>
      <c r="C120" s="1">
        <v>43665</v>
      </c>
      <c r="D120">
        <v>2019</v>
      </c>
      <c r="E120">
        <v>7</v>
      </c>
      <c r="F120">
        <v>0.55092889</v>
      </c>
      <c r="G120" t="s">
        <v>9</v>
      </c>
    </row>
    <row r="121" spans="1:7" x14ac:dyDescent="0.25">
      <c r="A121" t="s">
        <v>7</v>
      </c>
      <c r="B121" t="s">
        <v>11</v>
      </c>
      <c r="C121" s="1">
        <v>43669</v>
      </c>
      <c r="D121">
        <v>2019</v>
      </c>
      <c r="E121">
        <v>7</v>
      </c>
      <c r="F121">
        <v>0.68448540700000005</v>
      </c>
      <c r="G121" t="s">
        <v>9</v>
      </c>
    </row>
    <row r="122" spans="1:7" x14ac:dyDescent="0.25">
      <c r="A122" t="s">
        <v>7</v>
      </c>
      <c r="B122" t="s">
        <v>11</v>
      </c>
      <c r="C122" s="1">
        <v>43674</v>
      </c>
      <c r="D122">
        <v>2019</v>
      </c>
      <c r="E122">
        <v>7</v>
      </c>
      <c r="F122">
        <v>0</v>
      </c>
      <c r="G122" t="s">
        <v>9</v>
      </c>
    </row>
    <row r="123" spans="1:7" x14ac:dyDescent="0.25">
      <c r="A123" t="s">
        <v>7</v>
      </c>
      <c r="B123" t="s">
        <v>11</v>
      </c>
      <c r="C123" s="1">
        <v>43677</v>
      </c>
      <c r="D123">
        <v>2019</v>
      </c>
      <c r="E123">
        <v>7</v>
      </c>
      <c r="F123">
        <v>0</v>
      </c>
      <c r="G123" t="s">
        <v>9</v>
      </c>
    </row>
    <row r="124" spans="1:7" x14ac:dyDescent="0.25">
      <c r="A124" t="s">
        <v>7</v>
      </c>
      <c r="B124" t="s">
        <v>11</v>
      </c>
      <c r="C124" s="1">
        <v>43678</v>
      </c>
      <c r="D124">
        <v>2019</v>
      </c>
      <c r="E124">
        <v>8</v>
      </c>
      <c r="F124">
        <v>0</v>
      </c>
      <c r="G124" t="s">
        <v>9</v>
      </c>
    </row>
    <row r="125" spans="1:7" x14ac:dyDescent="0.25">
      <c r="A125" t="s">
        <v>7</v>
      </c>
      <c r="B125" t="s">
        <v>11</v>
      </c>
      <c r="C125" s="1">
        <v>43683</v>
      </c>
      <c r="D125">
        <v>2019</v>
      </c>
      <c r="E125">
        <v>8</v>
      </c>
      <c r="F125">
        <v>0.144935862</v>
      </c>
      <c r="G125" t="s">
        <v>9</v>
      </c>
    </row>
    <row r="126" spans="1:7" x14ac:dyDescent="0.25">
      <c r="A126" t="s">
        <v>7</v>
      </c>
      <c r="B126" t="s">
        <v>11</v>
      </c>
      <c r="C126" s="1">
        <v>43685</v>
      </c>
      <c r="D126">
        <v>2019</v>
      </c>
      <c r="E126">
        <v>8</v>
      </c>
      <c r="F126">
        <v>0</v>
      </c>
      <c r="G126" t="s">
        <v>9</v>
      </c>
    </row>
    <row r="127" spans="1:7" x14ac:dyDescent="0.25">
      <c r="A127" t="s">
        <v>7</v>
      </c>
      <c r="B127" t="s">
        <v>11</v>
      </c>
      <c r="C127" s="1">
        <v>43692</v>
      </c>
      <c r="D127">
        <v>2019</v>
      </c>
      <c r="E127">
        <v>8</v>
      </c>
      <c r="F127">
        <v>0</v>
      </c>
      <c r="G127" t="s">
        <v>9</v>
      </c>
    </row>
    <row r="128" spans="1:7" x14ac:dyDescent="0.25">
      <c r="A128" t="s">
        <v>7</v>
      </c>
      <c r="B128" t="s">
        <v>11</v>
      </c>
      <c r="C128" s="1">
        <v>43701</v>
      </c>
      <c r="D128">
        <v>2019</v>
      </c>
      <c r="E128">
        <v>8</v>
      </c>
      <c r="F128">
        <v>9.5000790449999997</v>
      </c>
      <c r="G128" t="s">
        <v>9</v>
      </c>
    </row>
    <row r="129" spans="1:7" x14ac:dyDescent="0.25">
      <c r="A129" t="s">
        <v>7</v>
      </c>
      <c r="B129" t="s">
        <v>11</v>
      </c>
      <c r="C129" s="1">
        <v>43702</v>
      </c>
      <c r="D129">
        <v>2019</v>
      </c>
      <c r="E129">
        <v>8</v>
      </c>
      <c r="F129">
        <v>0</v>
      </c>
      <c r="G129" t="s">
        <v>9</v>
      </c>
    </row>
    <row r="130" spans="1:7" x14ac:dyDescent="0.25">
      <c r="A130" t="s">
        <v>7</v>
      </c>
      <c r="B130" t="s">
        <v>11</v>
      </c>
      <c r="C130" s="1">
        <v>43704</v>
      </c>
      <c r="D130">
        <v>2019</v>
      </c>
      <c r="E130">
        <v>8</v>
      </c>
      <c r="F130">
        <v>3.7492828130000002</v>
      </c>
      <c r="G130" t="s">
        <v>9</v>
      </c>
    </row>
    <row r="131" spans="1:7" x14ac:dyDescent="0.25">
      <c r="A131" t="s">
        <v>7</v>
      </c>
      <c r="B131" t="s">
        <v>11</v>
      </c>
      <c r="C131" s="1">
        <v>43720</v>
      </c>
      <c r="D131">
        <v>2019</v>
      </c>
      <c r="E131">
        <v>9</v>
      </c>
      <c r="F131">
        <v>22.42033159</v>
      </c>
      <c r="G131" t="s">
        <v>9</v>
      </c>
    </row>
    <row r="132" spans="1:7" x14ac:dyDescent="0.25">
      <c r="A132" t="s">
        <v>7</v>
      </c>
      <c r="B132" t="s">
        <v>11</v>
      </c>
      <c r="C132" s="1">
        <v>43725</v>
      </c>
      <c r="D132">
        <v>2019</v>
      </c>
      <c r="E132">
        <v>9</v>
      </c>
      <c r="F132">
        <v>21.00828967</v>
      </c>
      <c r="G132" t="s">
        <v>9</v>
      </c>
    </row>
    <row r="133" spans="1:7" x14ac:dyDescent="0.25">
      <c r="A133" t="s">
        <v>7</v>
      </c>
      <c r="B133" t="s">
        <v>11</v>
      </c>
      <c r="C133" s="1">
        <v>43728</v>
      </c>
      <c r="D133">
        <v>2019</v>
      </c>
      <c r="E133">
        <v>9</v>
      </c>
      <c r="F133">
        <v>2.9554242660000001</v>
      </c>
      <c r="G133" t="s">
        <v>9</v>
      </c>
    </row>
    <row r="134" spans="1:7" x14ac:dyDescent="0.25">
      <c r="A134" t="s">
        <v>7</v>
      </c>
      <c r="B134" t="s">
        <v>11</v>
      </c>
      <c r="C134" s="1">
        <v>43739</v>
      </c>
      <c r="D134">
        <v>2019</v>
      </c>
      <c r="E134">
        <v>10</v>
      </c>
      <c r="F134">
        <v>1.265741615</v>
      </c>
      <c r="G134" t="s">
        <v>9</v>
      </c>
    </row>
    <row r="135" spans="1:7" x14ac:dyDescent="0.25">
      <c r="A135" t="s">
        <v>7</v>
      </c>
      <c r="B135" t="s">
        <v>11</v>
      </c>
      <c r="C135" s="1">
        <v>43746</v>
      </c>
      <c r="D135">
        <v>2019</v>
      </c>
      <c r="E135">
        <v>10</v>
      </c>
      <c r="F135">
        <v>0</v>
      </c>
      <c r="G135" t="s">
        <v>9</v>
      </c>
    </row>
    <row r="136" spans="1:7" x14ac:dyDescent="0.25">
      <c r="A136" t="s">
        <v>7</v>
      </c>
      <c r="B136" t="s">
        <v>11</v>
      </c>
      <c r="C136" s="1">
        <v>43753</v>
      </c>
      <c r="D136">
        <v>2019</v>
      </c>
      <c r="E136">
        <v>10</v>
      </c>
      <c r="F136">
        <v>11.30131585</v>
      </c>
      <c r="G136" t="s">
        <v>9</v>
      </c>
    </row>
    <row r="137" spans="1:7" x14ac:dyDescent="0.25">
      <c r="A137" t="s">
        <v>7</v>
      </c>
      <c r="B137" t="s">
        <v>11</v>
      </c>
      <c r="C137" s="1">
        <v>43764</v>
      </c>
      <c r="D137">
        <v>2019</v>
      </c>
      <c r="E137">
        <v>10</v>
      </c>
      <c r="F137">
        <v>0.144360342</v>
      </c>
      <c r="G137" t="s">
        <v>9</v>
      </c>
    </row>
    <row r="138" spans="1:7" x14ac:dyDescent="0.25">
      <c r="A138" t="s">
        <v>7</v>
      </c>
      <c r="B138" t="s">
        <v>11</v>
      </c>
      <c r="C138" s="1">
        <v>43767</v>
      </c>
      <c r="D138">
        <v>2019</v>
      </c>
      <c r="E138">
        <v>10</v>
      </c>
      <c r="F138">
        <v>17.029058289999998</v>
      </c>
      <c r="G138" t="s">
        <v>9</v>
      </c>
    </row>
    <row r="139" spans="1:7" x14ac:dyDescent="0.25">
      <c r="A139" t="s">
        <v>7</v>
      </c>
      <c r="B139" t="s">
        <v>11</v>
      </c>
      <c r="C139" s="1">
        <v>43778</v>
      </c>
      <c r="D139">
        <v>2019</v>
      </c>
      <c r="E139">
        <v>11</v>
      </c>
      <c r="F139">
        <v>0</v>
      </c>
      <c r="G139" t="s">
        <v>9</v>
      </c>
    </row>
    <row r="140" spans="1:7" x14ac:dyDescent="0.25">
      <c r="A140" t="s">
        <v>7</v>
      </c>
      <c r="B140" t="s">
        <v>11</v>
      </c>
      <c r="C140" s="1">
        <v>43786</v>
      </c>
      <c r="D140">
        <v>2019</v>
      </c>
      <c r="E140">
        <v>11</v>
      </c>
      <c r="F140">
        <v>6.7195965800000002</v>
      </c>
      <c r="G140" t="s">
        <v>9</v>
      </c>
    </row>
    <row r="141" spans="1:7" x14ac:dyDescent="0.25">
      <c r="A141" t="s">
        <v>7</v>
      </c>
      <c r="B141" t="s">
        <v>11</v>
      </c>
      <c r="C141" s="1">
        <v>43789</v>
      </c>
      <c r="D141">
        <v>2019</v>
      </c>
      <c r="E141">
        <v>11</v>
      </c>
      <c r="F141">
        <v>11.44684653</v>
      </c>
      <c r="G141" t="s">
        <v>9</v>
      </c>
    </row>
    <row r="142" spans="1:7" x14ac:dyDescent="0.25">
      <c r="A142" t="s">
        <v>7</v>
      </c>
      <c r="B142" t="s">
        <v>11</v>
      </c>
      <c r="C142" s="1">
        <v>43799</v>
      </c>
      <c r="D142">
        <v>2019</v>
      </c>
      <c r="E142">
        <v>11</v>
      </c>
      <c r="F142">
        <v>77.969503000000003</v>
      </c>
      <c r="G142" t="s">
        <v>9</v>
      </c>
    </row>
    <row r="143" spans="1:7" x14ac:dyDescent="0.25">
      <c r="A143" t="s">
        <v>7</v>
      </c>
      <c r="B143" t="s">
        <v>11</v>
      </c>
      <c r="C143" s="1">
        <v>43802</v>
      </c>
      <c r="D143">
        <v>2019</v>
      </c>
      <c r="E143">
        <v>12</v>
      </c>
      <c r="F143">
        <v>36.199601209999997</v>
      </c>
      <c r="G143" t="s">
        <v>9</v>
      </c>
    </row>
    <row r="144" spans="1:7" x14ac:dyDescent="0.25">
      <c r="A144" t="s">
        <v>7</v>
      </c>
      <c r="B144" t="s">
        <v>11</v>
      </c>
      <c r="C144" s="1">
        <v>43815</v>
      </c>
      <c r="D144">
        <v>2019</v>
      </c>
      <c r="E144">
        <v>12</v>
      </c>
      <c r="F144">
        <v>10.44505483</v>
      </c>
      <c r="G144" t="s">
        <v>9</v>
      </c>
    </row>
    <row r="145" spans="1:7" x14ac:dyDescent="0.25">
      <c r="A145" t="s">
        <v>7</v>
      </c>
      <c r="B145" t="s">
        <v>11</v>
      </c>
      <c r="C145" s="1">
        <v>43818</v>
      </c>
      <c r="D145">
        <v>2019</v>
      </c>
      <c r="E145">
        <v>12</v>
      </c>
      <c r="F145">
        <v>8.3378826549999996</v>
      </c>
      <c r="G145" t="s">
        <v>9</v>
      </c>
    </row>
    <row r="146" spans="1:7" x14ac:dyDescent="0.25">
      <c r="A146" t="s">
        <v>7</v>
      </c>
      <c r="B146" t="s">
        <v>12</v>
      </c>
      <c r="C146" s="1">
        <v>43466</v>
      </c>
      <c r="D146">
        <v>2019</v>
      </c>
      <c r="E146">
        <v>1</v>
      </c>
      <c r="F146">
        <v>0</v>
      </c>
      <c r="G146" t="s">
        <v>9</v>
      </c>
    </row>
    <row r="147" spans="1:7" x14ac:dyDescent="0.25">
      <c r="A147" t="s">
        <v>7</v>
      </c>
      <c r="B147" t="s">
        <v>12</v>
      </c>
      <c r="C147" s="1">
        <v>43467</v>
      </c>
      <c r="D147">
        <v>2019</v>
      </c>
      <c r="E147">
        <v>1</v>
      </c>
      <c r="F147">
        <v>0</v>
      </c>
      <c r="G147" t="s">
        <v>9</v>
      </c>
    </row>
    <row r="148" spans="1:7" x14ac:dyDescent="0.25">
      <c r="A148" t="s">
        <v>7</v>
      </c>
      <c r="B148" t="s">
        <v>12</v>
      </c>
      <c r="C148" s="1">
        <v>43474</v>
      </c>
      <c r="D148">
        <v>2019</v>
      </c>
      <c r="E148">
        <v>1</v>
      </c>
      <c r="F148">
        <v>0</v>
      </c>
      <c r="G148" t="s">
        <v>9</v>
      </c>
    </row>
    <row r="149" spans="1:7" x14ac:dyDescent="0.25">
      <c r="A149" t="s">
        <v>7</v>
      </c>
      <c r="B149" t="s">
        <v>12</v>
      </c>
      <c r="C149" s="1">
        <v>43496</v>
      </c>
      <c r="D149">
        <v>2019</v>
      </c>
      <c r="E149">
        <v>1</v>
      </c>
      <c r="F149">
        <v>0</v>
      </c>
      <c r="G149" t="s">
        <v>9</v>
      </c>
    </row>
    <row r="150" spans="1:7" x14ac:dyDescent="0.25">
      <c r="A150" t="s">
        <v>7</v>
      </c>
      <c r="B150" t="s">
        <v>12</v>
      </c>
      <c r="C150" s="1">
        <v>43498</v>
      </c>
      <c r="D150">
        <v>2019</v>
      </c>
      <c r="E150">
        <v>2</v>
      </c>
      <c r="F150">
        <v>0</v>
      </c>
      <c r="G150" t="s">
        <v>9</v>
      </c>
    </row>
    <row r="151" spans="1:7" x14ac:dyDescent="0.25">
      <c r="A151" t="s">
        <v>7</v>
      </c>
      <c r="B151" t="s">
        <v>12</v>
      </c>
      <c r="C151" s="1">
        <v>43500</v>
      </c>
      <c r="D151">
        <v>2019</v>
      </c>
      <c r="E151">
        <v>2</v>
      </c>
      <c r="F151">
        <v>0</v>
      </c>
      <c r="G151" t="s">
        <v>9</v>
      </c>
    </row>
    <row r="152" spans="1:7" x14ac:dyDescent="0.25">
      <c r="A152" t="s">
        <v>7</v>
      </c>
      <c r="B152" t="s">
        <v>12</v>
      </c>
      <c r="C152" s="1">
        <v>43507</v>
      </c>
      <c r="D152">
        <v>2019</v>
      </c>
      <c r="E152">
        <v>2</v>
      </c>
      <c r="F152">
        <v>0</v>
      </c>
      <c r="G152" t="s">
        <v>9</v>
      </c>
    </row>
    <row r="153" spans="1:7" x14ac:dyDescent="0.25">
      <c r="A153" t="s">
        <v>7</v>
      </c>
      <c r="B153" t="s">
        <v>12</v>
      </c>
      <c r="C153" s="1">
        <v>43508</v>
      </c>
      <c r="D153">
        <v>2019</v>
      </c>
      <c r="E153">
        <v>2</v>
      </c>
      <c r="F153">
        <v>0</v>
      </c>
      <c r="G153" t="s">
        <v>9</v>
      </c>
    </row>
    <row r="154" spans="1:7" x14ac:dyDescent="0.25">
      <c r="A154" t="s">
        <v>7</v>
      </c>
      <c r="B154" t="s">
        <v>12</v>
      </c>
      <c r="C154" s="1">
        <v>43513</v>
      </c>
      <c r="D154">
        <v>2019</v>
      </c>
      <c r="E154">
        <v>2</v>
      </c>
      <c r="F154">
        <v>0</v>
      </c>
      <c r="G154" t="s">
        <v>9</v>
      </c>
    </row>
    <row r="155" spans="1:7" x14ac:dyDescent="0.25">
      <c r="A155" t="s">
        <v>7</v>
      </c>
      <c r="B155" t="s">
        <v>12</v>
      </c>
      <c r="C155" s="1">
        <v>43516</v>
      </c>
      <c r="D155">
        <v>2019</v>
      </c>
      <c r="E155">
        <v>2</v>
      </c>
      <c r="F155">
        <v>0</v>
      </c>
      <c r="G155" t="s">
        <v>9</v>
      </c>
    </row>
    <row r="156" spans="1:7" x14ac:dyDescent="0.25">
      <c r="A156" t="s">
        <v>7</v>
      </c>
      <c r="B156" t="s">
        <v>12</v>
      </c>
      <c r="C156" s="1">
        <v>43521</v>
      </c>
      <c r="D156">
        <v>2019</v>
      </c>
      <c r="E156">
        <v>2</v>
      </c>
      <c r="F156">
        <v>0</v>
      </c>
      <c r="G156" t="s">
        <v>9</v>
      </c>
    </row>
    <row r="157" spans="1:7" x14ac:dyDescent="0.25">
      <c r="A157" t="s">
        <v>7</v>
      </c>
      <c r="B157" t="s">
        <v>12</v>
      </c>
      <c r="C157" s="1">
        <v>43523</v>
      </c>
      <c r="D157">
        <v>2019</v>
      </c>
      <c r="E157">
        <v>2</v>
      </c>
      <c r="F157">
        <v>0</v>
      </c>
      <c r="G157" t="s">
        <v>9</v>
      </c>
    </row>
    <row r="158" spans="1:7" x14ac:dyDescent="0.25">
      <c r="A158" t="s">
        <v>7</v>
      </c>
      <c r="B158" t="s">
        <v>12</v>
      </c>
      <c r="C158" s="1">
        <v>43529</v>
      </c>
      <c r="D158">
        <v>2019</v>
      </c>
      <c r="E158">
        <v>3</v>
      </c>
      <c r="F158">
        <v>0</v>
      </c>
      <c r="G158" t="s">
        <v>9</v>
      </c>
    </row>
    <row r="159" spans="1:7" x14ac:dyDescent="0.25">
      <c r="A159" t="s">
        <v>7</v>
      </c>
      <c r="B159" t="s">
        <v>12</v>
      </c>
      <c r="C159" s="1">
        <v>43530</v>
      </c>
      <c r="D159">
        <v>2019</v>
      </c>
      <c r="E159">
        <v>3</v>
      </c>
      <c r="F159">
        <v>0</v>
      </c>
      <c r="G159" t="s">
        <v>9</v>
      </c>
    </row>
    <row r="160" spans="1:7" x14ac:dyDescent="0.25">
      <c r="A160" t="s">
        <v>7</v>
      </c>
      <c r="B160" t="s">
        <v>12</v>
      </c>
      <c r="C160" s="1">
        <v>43532</v>
      </c>
      <c r="D160">
        <v>2019</v>
      </c>
      <c r="E160">
        <v>3</v>
      </c>
      <c r="F160">
        <v>0</v>
      </c>
      <c r="G160" t="s">
        <v>9</v>
      </c>
    </row>
    <row r="161" spans="1:7" x14ac:dyDescent="0.25">
      <c r="A161" t="s">
        <v>7</v>
      </c>
      <c r="B161" t="s">
        <v>12</v>
      </c>
      <c r="C161" s="1">
        <v>43545</v>
      </c>
      <c r="D161">
        <v>2019</v>
      </c>
      <c r="E161">
        <v>3</v>
      </c>
      <c r="F161">
        <v>0</v>
      </c>
      <c r="G161" t="s">
        <v>9</v>
      </c>
    </row>
    <row r="162" spans="1:7" x14ac:dyDescent="0.25">
      <c r="A162" t="s">
        <v>7</v>
      </c>
      <c r="B162" t="s">
        <v>12</v>
      </c>
      <c r="C162" s="1">
        <v>43556</v>
      </c>
      <c r="D162">
        <v>2019</v>
      </c>
      <c r="E162">
        <v>4</v>
      </c>
      <c r="F162">
        <v>0</v>
      </c>
      <c r="G162" t="s">
        <v>9</v>
      </c>
    </row>
    <row r="163" spans="1:7" x14ac:dyDescent="0.25">
      <c r="A163" t="s">
        <v>7</v>
      </c>
      <c r="B163" t="s">
        <v>12</v>
      </c>
      <c r="C163" s="1">
        <v>43562</v>
      </c>
      <c r="D163">
        <v>2019</v>
      </c>
      <c r="E163">
        <v>4</v>
      </c>
      <c r="F163">
        <v>0</v>
      </c>
      <c r="G163" t="s">
        <v>9</v>
      </c>
    </row>
    <row r="164" spans="1:7" x14ac:dyDescent="0.25">
      <c r="A164" t="s">
        <v>7</v>
      </c>
      <c r="B164" t="s">
        <v>12</v>
      </c>
      <c r="C164" s="1">
        <v>43563</v>
      </c>
      <c r="D164">
        <v>2019</v>
      </c>
      <c r="E164">
        <v>4</v>
      </c>
      <c r="F164">
        <v>0</v>
      </c>
      <c r="G164" t="s">
        <v>9</v>
      </c>
    </row>
    <row r="165" spans="1:7" x14ac:dyDescent="0.25">
      <c r="A165" t="s">
        <v>7</v>
      </c>
      <c r="B165" t="s">
        <v>12</v>
      </c>
      <c r="C165" s="1">
        <v>43566</v>
      </c>
      <c r="D165">
        <v>2019</v>
      </c>
      <c r="E165">
        <v>4</v>
      </c>
      <c r="F165">
        <v>0</v>
      </c>
      <c r="G165" t="s">
        <v>9</v>
      </c>
    </row>
    <row r="166" spans="1:7" x14ac:dyDescent="0.25">
      <c r="A166" t="s">
        <v>7</v>
      </c>
      <c r="B166" t="s">
        <v>12</v>
      </c>
      <c r="C166" s="1">
        <v>43575</v>
      </c>
      <c r="D166">
        <v>2019</v>
      </c>
      <c r="E166">
        <v>4</v>
      </c>
      <c r="F166">
        <v>0</v>
      </c>
      <c r="G166" t="s">
        <v>9</v>
      </c>
    </row>
    <row r="167" spans="1:7" x14ac:dyDescent="0.25">
      <c r="A167" t="s">
        <v>7</v>
      </c>
      <c r="B167" t="s">
        <v>12</v>
      </c>
      <c r="C167" s="1">
        <v>43579</v>
      </c>
      <c r="D167">
        <v>2019</v>
      </c>
      <c r="E167">
        <v>4</v>
      </c>
      <c r="F167">
        <v>7.0803556439999999</v>
      </c>
      <c r="G167" t="s">
        <v>9</v>
      </c>
    </row>
    <row r="168" spans="1:7" x14ac:dyDescent="0.25">
      <c r="A168" t="s">
        <v>7</v>
      </c>
      <c r="B168" t="s">
        <v>12</v>
      </c>
      <c r="C168" s="1">
        <v>43582</v>
      </c>
      <c r="D168">
        <v>2019</v>
      </c>
      <c r="E168">
        <v>4</v>
      </c>
      <c r="F168">
        <v>0</v>
      </c>
      <c r="G168" t="s">
        <v>9</v>
      </c>
    </row>
    <row r="169" spans="1:7" x14ac:dyDescent="0.25">
      <c r="A169" t="s">
        <v>7</v>
      </c>
      <c r="B169" t="s">
        <v>12</v>
      </c>
      <c r="C169" s="1">
        <v>43583</v>
      </c>
      <c r="D169">
        <v>2019</v>
      </c>
      <c r="E169">
        <v>4</v>
      </c>
      <c r="F169">
        <v>0</v>
      </c>
      <c r="G169" t="s">
        <v>9</v>
      </c>
    </row>
    <row r="170" spans="1:7" x14ac:dyDescent="0.25">
      <c r="A170" t="s">
        <v>7</v>
      </c>
      <c r="B170" t="s">
        <v>12</v>
      </c>
      <c r="C170" s="1">
        <v>43584</v>
      </c>
      <c r="D170">
        <v>2019</v>
      </c>
      <c r="E170">
        <v>4</v>
      </c>
      <c r="F170">
        <v>0</v>
      </c>
      <c r="G170" t="s">
        <v>9</v>
      </c>
    </row>
    <row r="171" spans="1:7" x14ac:dyDescent="0.25">
      <c r="A171" t="s">
        <v>7</v>
      </c>
      <c r="B171" t="s">
        <v>12</v>
      </c>
      <c r="C171" s="1">
        <v>43592</v>
      </c>
      <c r="D171">
        <v>2019</v>
      </c>
      <c r="E171">
        <v>5</v>
      </c>
      <c r="F171">
        <v>0</v>
      </c>
      <c r="G171" t="s">
        <v>9</v>
      </c>
    </row>
    <row r="172" spans="1:7" x14ac:dyDescent="0.25">
      <c r="A172" t="s">
        <v>7</v>
      </c>
      <c r="B172" t="s">
        <v>12</v>
      </c>
      <c r="C172" s="1">
        <v>43603</v>
      </c>
      <c r="D172">
        <v>2019</v>
      </c>
      <c r="E172">
        <v>5</v>
      </c>
      <c r="F172">
        <v>5.4705891610000004</v>
      </c>
      <c r="G172" t="s">
        <v>9</v>
      </c>
    </row>
    <row r="173" spans="1:7" x14ac:dyDescent="0.25">
      <c r="A173" t="s">
        <v>7</v>
      </c>
      <c r="B173" t="s">
        <v>12</v>
      </c>
      <c r="C173" s="1">
        <v>43604</v>
      </c>
      <c r="D173">
        <v>2019</v>
      </c>
      <c r="E173">
        <v>5</v>
      </c>
      <c r="F173">
        <v>0.17039738600000001</v>
      </c>
      <c r="G173" t="s">
        <v>9</v>
      </c>
    </row>
    <row r="174" spans="1:7" x14ac:dyDescent="0.25">
      <c r="A174" t="s">
        <v>7</v>
      </c>
      <c r="B174" t="s">
        <v>12</v>
      </c>
      <c r="C174" s="1">
        <v>43606</v>
      </c>
      <c r="D174">
        <v>2019</v>
      </c>
      <c r="E174">
        <v>5</v>
      </c>
      <c r="F174">
        <v>0</v>
      </c>
      <c r="G174" t="s">
        <v>9</v>
      </c>
    </row>
    <row r="175" spans="1:7" x14ac:dyDescent="0.25">
      <c r="A175" t="s">
        <v>7</v>
      </c>
      <c r="B175" t="s">
        <v>12</v>
      </c>
      <c r="C175" s="1">
        <v>43610</v>
      </c>
      <c r="D175">
        <v>2019</v>
      </c>
      <c r="E175">
        <v>5</v>
      </c>
      <c r="F175">
        <v>0</v>
      </c>
      <c r="G175" t="s">
        <v>9</v>
      </c>
    </row>
    <row r="176" spans="1:7" x14ac:dyDescent="0.25">
      <c r="A176" t="s">
        <v>7</v>
      </c>
      <c r="B176" t="s">
        <v>12</v>
      </c>
      <c r="C176" s="1">
        <v>43612</v>
      </c>
      <c r="D176">
        <v>2019</v>
      </c>
      <c r="E176">
        <v>5</v>
      </c>
      <c r="F176">
        <v>0.21299673599999999</v>
      </c>
      <c r="G176" t="s">
        <v>9</v>
      </c>
    </row>
    <row r="177" spans="1:7" x14ac:dyDescent="0.25">
      <c r="A177" t="s">
        <v>7</v>
      </c>
      <c r="B177" t="s">
        <v>12</v>
      </c>
      <c r="C177" s="1">
        <v>43614</v>
      </c>
      <c r="D177">
        <v>2019</v>
      </c>
      <c r="E177">
        <v>5</v>
      </c>
      <c r="F177">
        <v>15.96364784</v>
      </c>
      <c r="G177" t="s">
        <v>9</v>
      </c>
    </row>
    <row r="178" spans="1:7" x14ac:dyDescent="0.25">
      <c r="A178" t="s">
        <v>7</v>
      </c>
      <c r="B178" t="s">
        <v>12</v>
      </c>
      <c r="C178" s="1">
        <v>43619</v>
      </c>
      <c r="D178">
        <v>2019</v>
      </c>
      <c r="E178">
        <v>6</v>
      </c>
      <c r="F178">
        <v>8.3926877980000008</v>
      </c>
      <c r="G178" t="s">
        <v>9</v>
      </c>
    </row>
    <row r="179" spans="1:7" x14ac:dyDescent="0.25">
      <c r="A179" t="s">
        <v>7</v>
      </c>
      <c r="B179" t="s">
        <v>12</v>
      </c>
      <c r="C179" s="1">
        <v>43620</v>
      </c>
      <c r="D179">
        <v>2019</v>
      </c>
      <c r="E179">
        <v>6</v>
      </c>
      <c r="F179">
        <v>0</v>
      </c>
      <c r="G179" t="s">
        <v>9</v>
      </c>
    </row>
    <row r="180" spans="1:7" x14ac:dyDescent="0.25">
      <c r="A180" t="s">
        <v>7</v>
      </c>
      <c r="B180" t="s">
        <v>12</v>
      </c>
      <c r="C180" s="1">
        <v>43623</v>
      </c>
      <c r="D180">
        <v>2019</v>
      </c>
      <c r="E180">
        <v>6</v>
      </c>
      <c r="F180">
        <v>0</v>
      </c>
      <c r="G180" t="s">
        <v>9</v>
      </c>
    </row>
    <row r="181" spans="1:7" x14ac:dyDescent="0.25">
      <c r="A181" t="s">
        <v>7</v>
      </c>
      <c r="B181" t="s">
        <v>12</v>
      </c>
      <c r="C181" s="1">
        <v>43628</v>
      </c>
      <c r="D181">
        <v>2019</v>
      </c>
      <c r="E181">
        <v>6</v>
      </c>
      <c r="F181">
        <v>57.169486999999997</v>
      </c>
      <c r="G181" t="s">
        <v>9</v>
      </c>
    </row>
    <row r="182" spans="1:7" x14ac:dyDescent="0.25">
      <c r="A182" t="s">
        <v>7</v>
      </c>
      <c r="B182" t="s">
        <v>12</v>
      </c>
      <c r="C182" s="1">
        <v>43634</v>
      </c>
      <c r="D182">
        <v>2019</v>
      </c>
      <c r="E182">
        <v>6</v>
      </c>
      <c r="F182">
        <v>1.321480513</v>
      </c>
      <c r="G182" t="s">
        <v>9</v>
      </c>
    </row>
    <row r="183" spans="1:7" x14ac:dyDescent="0.25">
      <c r="A183" t="s">
        <v>7</v>
      </c>
      <c r="B183" t="s">
        <v>12</v>
      </c>
      <c r="C183" s="1">
        <v>43637</v>
      </c>
      <c r="D183">
        <v>2019</v>
      </c>
      <c r="E183">
        <v>6</v>
      </c>
      <c r="F183">
        <v>20.46828842</v>
      </c>
      <c r="G183" t="s">
        <v>9</v>
      </c>
    </row>
    <row r="184" spans="1:7" x14ac:dyDescent="0.25">
      <c r="A184" t="s">
        <v>7</v>
      </c>
      <c r="B184" t="s">
        <v>12</v>
      </c>
      <c r="C184" s="1">
        <v>43638</v>
      </c>
      <c r="D184">
        <v>2019</v>
      </c>
      <c r="E184">
        <v>6</v>
      </c>
      <c r="F184">
        <v>74.716789250000005</v>
      </c>
      <c r="G184" t="s">
        <v>9</v>
      </c>
    </row>
    <row r="185" spans="1:7" x14ac:dyDescent="0.25">
      <c r="A185" t="s">
        <v>7</v>
      </c>
      <c r="B185" t="s">
        <v>12</v>
      </c>
      <c r="C185" s="1">
        <v>43643</v>
      </c>
      <c r="D185">
        <v>2019</v>
      </c>
      <c r="E185">
        <v>6</v>
      </c>
      <c r="F185">
        <v>2.8013672829999998</v>
      </c>
      <c r="G185" t="s">
        <v>9</v>
      </c>
    </row>
    <row r="186" spans="1:7" x14ac:dyDescent="0.25">
      <c r="A186" t="s">
        <v>7</v>
      </c>
      <c r="B186" t="s">
        <v>12</v>
      </c>
      <c r="C186" s="1">
        <v>43646</v>
      </c>
      <c r="D186">
        <v>2019</v>
      </c>
      <c r="E186">
        <v>6</v>
      </c>
      <c r="F186">
        <v>2.2774467469999999</v>
      </c>
      <c r="G186" t="s">
        <v>9</v>
      </c>
    </row>
    <row r="187" spans="1:7" x14ac:dyDescent="0.25">
      <c r="A187" t="s">
        <v>7</v>
      </c>
      <c r="B187" t="s">
        <v>12</v>
      </c>
      <c r="C187" s="1">
        <v>43657</v>
      </c>
      <c r="D187">
        <v>2019</v>
      </c>
      <c r="E187">
        <v>7</v>
      </c>
      <c r="F187">
        <v>46.342559809999997</v>
      </c>
      <c r="G187" t="s">
        <v>9</v>
      </c>
    </row>
    <row r="188" spans="1:7" x14ac:dyDescent="0.25">
      <c r="A188" t="s">
        <v>7</v>
      </c>
      <c r="B188" t="s">
        <v>12</v>
      </c>
      <c r="C188" s="1">
        <v>43662</v>
      </c>
      <c r="D188">
        <v>2019</v>
      </c>
      <c r="E188">
        <v>7</v>
      </c>
      <c r="F188">
        <v>12.892506600000001</v>
      </c>
      <c r="G188" t="s">
        <v>9</v>
      </c>
    </row>
    <row r="189" spans="1:7" x14ac:dyDescent="0.25">
      <c r="A189" t="s">
        <v>7</v>
      </c>
      <c r="B189" t="s">
        <v>12</v>
      </c>
      <c r="C189" s="1">
        <v>43670</v>
      </c>
      <c r="D189">
        <v>2019</v>
      </c>
      <c r="E189">
        <v>7</v>
      </c>
      <c r="F189">
        <v>21.380325320000001</v>
      </c>
      <c r="G189" t="s">
        <v>9</v>
      </c>
    </row>
    <row r="190" spans="1:7" x14ac:dyDescent="0.25">
      <c r="A190" t="s">
        <v>7</v>
      </c>
      <c r="B190" t="s">
        <v>12</v>
      </c>
      <c r="C190" s="1">
        <v>43679</v>
      </c>
      <c r="D190">
        <v>2019</v>
      </c>
      <c r="E190">
        <v>8</v>
      </c>
      <c r="F190">
        <v>1.1715058089999999</v>
      </c>
      <c r="G190" t="s">
        <v>9</v>
      </c>
    </row>
    <row r="191" spans="1:7" x14ac:dyDescent="0.25">
      <c r="A191" t="s">
        <v>7</v>
      </c>
      <c r="B191" t="s">
        <v>12</v>
      </c>
      <c r="C191" s="1">
        <v>43680</v>
      </c>
      <c r="D191">
        <v>2019</v>
      </c>
      <c r="E191">
        <v>8</v>
      </c>
      <c r="F191">
        <v>10.10232162</v>
      </c>
      <c r="G191" t="s">
        <v>9</v>
      </c>
    </row>
    <row r="192" spans="1:7" x14ac:dyDescent="0.25">
      <c r="A192" t="s">
        <v>7</v>
      </c>
      <c r="B192" t="s">
        <v>12</v>
      </c>
      <c r="C192" s="1">
        <v>43686</v>
      </c>
      <c r="D192">
        <v>2019</v>
      </c>
      <c r="E192">
        <v>8</v>
      </c>
      <c r="F192">
        <v>220.87652589999999</v>
      </c>
      <c r="G192" t="s">
        <v>9</v>
      </c>
    </row>
    <row r="193" spans="1:7" x14ac:dyDescent="0.25">
      <c r="A193" t="s">
        <v>7</v>
      </c>
      <c r="B193" t="s">
        <v>12</v>
      </c>
      <c r="C193" s="1">
        <v>43688</v>
      </c>
      <c r="D193">
        <v>2019</v>
      </c>
      <c r="E193">
        <v>8</v>
      </c>
      <c r="F193">
        <v>132.31614690000001</v>
      </c>
      <c r="G193" t="s">
        <v>9</v>
      </c>
    </row>
    <row r="194" spans="1:7" x14ac:dyDescent="0.25">
      <c r="A194" t="s">
        <v>7</v>
      </c>
      <c r="B194" t="s">
        <v>12</v>
      </c>
      <c r="C194" s="1">
        <v>43690</v>
      </c>
      <c r="D194">
        <v>2019</v>
      </c>
      <c r="E194">
        <v>8</v>
      </c>
      <c r="F194">
        <v>25.064496989999999</v>
      </c>
      <c r="G194" t="s">
        <v>9</v>
      </c>
    </row>
    <row r="195" spans="1:7" x14ac:dyDescent="0.25">
      <c r="A195" t="s">
        <v>7</v>
      </c>
      <c r="B195" t="s">
        <v>12</v>
      </c>
      <c r="C195" s="1">
        <v>43691</v>
      </c>
      <c r="D195">
        <v>2019</v>
      </c>
      <c r="E195">
        <v>8</v>
      </c>
      <c r="F195">
        <v>58.250457760000003</v>
      </c>
      <c r="G195" t="s">
        <v>9</v>
      </c>
    </row>
    <row r="196" spans="1:7" x14ac:dyDescent="0.25">
      <c r="A196" t="s">
        <v>7</v>
      </c>
      <c r="B196" t="s">
        <v>12</v>
      </c>
      <c r="C196" s="1">
        <v>43693</v>
      </c>
      <c r="D196">
        <v>2019</v>
      </c>
      <c r="E196">
        <v>8</v>
      </c>
      <c r="F196">
        <v>10.37235832</v>
      </c>
      <c r="G196" t="s">
        <v>9</v>
      </c>
    </row>
    <row r="197" spans="1:7" x14ac:dyDescent="0.25">
      <c r="A197" t="s">
        <v>7</v>
      </c>
      <c r="B197" t="s">
        <v>12</v>
      </c>
      <c r="C197" s="1">
        <v>43696</v>
      </c>
      <c r="D197">
        <v>2019</v>
      </c>
      <c r="E197">
        <v>8</v>
      </c>
      <c r="F197">
        <v>5.0098295210000003</v>
      </c>
      <c r="G197" t="s">
        <v>9</v>
      </c>
    </row>
    <row r="198" spans="1:7" x14ac:dyDescent="0.25">
      <c r="A198" t="s">
        <v>7</v>
      </c>
      <c r="B198" t="s">
        <v>12</v>
      </c>
      <c r="C198" s="1">
        <v>43702</v>
      </c>
      <c r="D198">
        <v>2019</v>
      </c>
      <c r="E198">
        <v>8</v>
      </c>
      <c r="F198">
        <v>6.7070622440000003</v>
      </c>
      <c r="G198" t="s">
        <v>9</v>
      </c>
    </row>
    <row r="199" spans="1:7" x14ac:dyDescent="0.25">
      <c r="A199" t="s">
        <v>7</v>
      </c>
      <c r="B199" t="s">
        <v>12</v>
      </c>
      <c r="C199" s="1">
        <v>43707</v>
      </c>
      <c r="D199">
        <v>2019</v>
      </c>
      <c r="E199">
        <v>8</v>
      </c>
      <c r="F199">
        <v>57.486557009999999</v>
      </c>
      <c r="G199" t="s">
        <v>9</v>
      </c>
    </row>
    <row r="200" spans="1:7" x14ac:dyDescent="0.25">
      <c r="A200" t="s">
        <v>7</v>
      </c>
      <c r="B200" t="s">
        <v>12</v>
      </c>
      <c r="C200" s="1">
        <v>43708</v>
      </c>
      <c r="D200">
        <v>2019</v>
      </c>
      <c r="E200">
        <v>8</v>
      </c>
      <c r="F200">
        <v>23.29553413</v>
      </c>
      <c r="G200" t="s">
        <v>9</v>
      </c>
    </row>
    <row r="201" spans="1:7" x14ac:dyDescent="0.25">
      <c r="A201" t="s">
        <v>7</v>
      </c>
      <c r="B201" t="s">
        <v>12</v>
      </c>
      <c r="C201" s="1">
        <v>43706</v>
      </c>
      <c r="D201">
        <v>2019</v>
      </c>
      <c r="E201">
        <v>8</v>
      </c>
      <c r="F201">
        <v>29.300416949999999</v>
      </c>
      <c r="G201" t="s">
        <v>9</v>
      </c>
    </row>
    <row r="202" spans="1:7" x14ac:dyDescent="0.25">
      <c r="A202" t="s">
        <v>7</v>
      </c>
      <c r="B202" t="s">
        <v>12</v>
      </c>
      <c r="C202" s="1">
        <v>43711</v>
      </c>
      <c r="D202">
        <v>2019</v>
      </c>
      <c r="E202">
        <v>9</v>
      </c>
      <c r="F202">
        <v>17.76303291</v>
      </c>
      <c r="G202" t="s">
        <v>9</v>
      </c>
    </row>
    <row r="203" spans="1:7" x14ac:dyDescent="0.25">
      <c r="A203" t="s">
        <v>7</v>
      </c>
      <c r="B203" t="s">
        <v>12</v>
      </c>
      <c r="C203" s="1">
        <v>43714</v>
      </c>
      <c r="D203">
        <v>2019</v>
      </c>
      <c r="E203">
        <v>9</v>
      </c>
      <c r="F203">
        <v>33.625247960000003</v>
      </c>
      <c r="G203" t="s">
        <v>9</v>
      </c>
    </row>
    <row r="204" spans="1:7" x14ac:dyDescent="0.25">
      <c r="A204" t="s">
        <v>7</v>
      </c>
      <c r="B204" t="s">
        <v>12</v>
      </c>
      <c r="C204" s="1">
        <v>43728</v>
      </c>
      <c r="D204">
        <v>2019</v>
      </c>
      <c r="E204">
        <v>9</v>
      </c>
      <c r="F204">
        <v>4.537446976</v>
      </c>
      <c r="G204" t="s">
        <v>9</v>
      </c>
    </row>
    <row r="205" spans="1:7" x14ac:dyDescent="0.25">
      <c r="A205" t="s">
        <v>7</v>
      </c>
      <c r="B205" t="s">
        <v>12</v>
      </c>
      <c r="C205" s="1">
        <v>43732</v>
      </c>
      <c r="D205">
        <v>2019</v>
      </c>
      <c r="E205">
        <v>9</v>
      </c>
      <c r="F205">
        <v>5.3889269830000002</v>
      </c>
      <c r="G205" t="s">
        <v>9</v>
      </c>
    </row>
    <row r="206" spans="1:7" x14ac:dyDescent="0.25">
      <c r="A206" t="s">
        <v>7</v>
      </c>
      <c r="B206" t="s">
        <v>12</v>
      </c>
      <c r="C206" s="1">
        <v>43735</v>
      </c>
      <c r="D206">
        <v>2019</v>
      </c>
      <c r="E206">
        <v>9</v>
      </c>
      <c r="F206">
        <v>6.6561098100000002</v>
      </c>
      <c r="G206" t="s">
        <v>9</v>
      </c>
    </row>
    <row r="207" spans="1:7" x14ac:dyDescent="0.25">
      <c r="A207" t="s">
        <v>7</v>
      </c>
      <c r="B207" t="s">
        <v>12</v>
      </c>
      <c r="C207" s="1">
        <v>43737</v>
      </c>
      <c r="D207">
        <v>2019</v>
      </c>
      <c r="E207">
        <v>9</v>
      </c>
      <c r="F207">
        <v>4.641911983</v>
      </c>
      <c r="G207" t="s">
        <v>9</v>
      </c>
    </row>
    <row r="208" spans="1:7" x14ac:dyDescent="0.25">
      <c r="A208" t="s">
        <v>7</v>
      </c>
      <c r="B208" t="s">
        <v>12</v>
      </c>
      <c r="C208" s="1">
        <v>43738</v>
      </c>
      <c r="D208">
        <v>2019</v>
      </c>
      <c r="E208">
        <v>9</v>
      </c>
      <c r="F208">
        <v>0.21299673599999999</v>
      </c>
      <c r="G208" t="s">
        <v>9</v>
      </c>
    </row>
    <row r="209" spans="1:7" x14ac:dyDescent="0.25">
      <c r="A209" t="s">
        <v>7</v>
      </c>
      <c r="B209" t="s">
        <v>12</v>
      </c>
      <c r="C209" s="1">
        <v>43740</v>
      </c>
      <c r="D209">
        <v>2019</v>
      </c>
      <c r="E209">
        <v>10</v>
      </c>
      <c r="F209">
        <v>0.70290350899999998</v>
      </c>
      <c r="G209" t="s">
        <v>9</v>
      </c>
    </row>
    <row r="210" spans="1:7" x14ac:dyDescent="0.25">
      <c r="A210" t="s">
        <v>7</v>
      </c>
      <c r="B210" t="s">
        <v>12</v>
      </c>
      <c r="C210" s="1">
        <v>43743</v>
      </c>
      <c r="D210">
        <v>2019</v>
      </c>
      <c r="E210">
        <v>10</v>
      </c>
      <c r="F210">
        <v>0</v>
      </c>
      <c r="G210" t="s">
        <v>9</v>
      </c>
    </row>
    <row r="211" spans="1:7" x14ac:dyDescent="0.25">
      <c r="A211" t="s">
        <v>7</v>
      </c>
      <c r="B211" t="s">
        <v>12</v>
      </c>
      <c r="C211" s="1">
        <v>43746</v>
      </c>
      <c r="D211">
        <v>2019</v>
      </c>
      <c r="E211">
        <v>10</v>
      </c>
      <c r="F211">
        <v>3.9227428440000001</v>
      </c>
      <c r="G211" t="s">
        <v>9</v>
      </c>
    </row>
    <row r="212" spans="1:7" x14ac:dyDescent="0.25">
      <c r="A212" t="s">
        <v>7</v>
      </c>
      <c r="B212" t="s">
        <v>12</v>
      </c>
      <c r="C212" s="1">
        <v>43750</v>
      </c>
      <c r="D212">
        <v>2019</v>
      </c>
      <c r="E212">
        <v>10</v>
      </c>
      <c r="F212">
        <v>28.713603970000001</v>
      </c>
      <c r="G212" t="s">
        <v>9</v>
      </c>
    </row>
    <row r="213" spans="1:7" x14ac:dyDescent="0.25">
      <c r="A213" t="s">
        <v>7</v>
      </c>
      <c r="B213" t="s">
        <v>12</v>
      </c>
      <c r="C213" s="1">
        <v>43762</v>
      </c>
      <c r="D213">
        <v>2019</v>
      </c>
      <c r="E213">
        <v>10</v>
      </c>
      <c r="F213">
        <v>61.120574949999998</v>
      </c>
      <c r="G213" t="s">
        <v>9</v>
      </c>
    </row>
    <row r="214" spans="1:7" x14ac:dyDescent="0.25">
      <c r="A214" t="s">
        <v>7</v>
      </c>
      <c r="B214" t="s">
        <v>12</v>
      </c>
      <c r="C214" s="1">
        <v>43773</v>
      </c>
      <c r="D214">
        <v>2019</v>
      </c>
      <c r="E214">
        <v>11</v>
      </c>
      <c r="F214">
        <v>0</v>
      </c>
      <c r="G214" t="s">
        <v>9</v>
      </c>
    </row>
    <row r="215" spans="1:7" x14ac:dyDescent="0.25">
      <c r="A215" t="s">
        <v>7</v>
      </c>
      <c r="B215" t="s">
        <v>12</v>
      </c>
      <c r="C215" s="1">
        <v>43780</v>
      </c>
      <c r="D215">
        <v>2019</v>
      </c>
      <c r="E215">
        <v>11</v>
      </c>
      <c r="F215">
        <v>8.2797632219999997</v>
      </c>
      <c r="G215" t="s">
        <v>9</v>
      </c>
    </row>
    <row r="216" spans="1:7" x14ac:dyDescent="0.25">
      <c r="A216" t="s">
        <v>7</v>
      </c>
      <c r="B216" t="s">
        <v>12</v>
      </c>
      <c r="C216" s="1">
        <v>43786</v>
      </c>
      <c r="D216">
        <v>2019</v>
      </c>
      <c r="E216">
        <v>11</v>
      </c>
      <c r="F216">
        <v>0.46859279300000001</v>
      </c>
      <c r="G216" t="s">
        <v>9</v>
      </c>
    </row>
    <row r="217" spans="1:7" x14ac:dyDescent="0.25">
      <c r="A217" t="s">
        <v>7</v>
      </c>
      <c r="B217" t="s">
        <v>12</v>
      </c>
      <c r="C217" s="1">
        <v>43798</v>
      </c>
      <c r="D217">
        <v>2019</v>
      </c>
      <c r="E217">
        <v>11</v>
      </c>
      <c r="F217">
        <v>0</v>
      </c>
      <c r="G217" t="s">
        <v>9</v>
      </c>
    </row>
    <row r="218" spans="1:7" x14ac:dyDescent="0.25">
      <c r="A218" t="s">
        <v>7</v>
      </c>
      <c r="B218" t="s">
        <v>12</v>
      </c>
      <c r="C218" s="1">
        <v>43811</v>
      </c>
      <c r="D218">
        <v>2019</v>
      </c>
      <c r="E218">
        <v>12</v>
      </c>
      <c r="F218">
        <v>0</v>
      </c>
      <c r="G218" t="s">
        <v>9</v>
      </c>
    </row>
    <row r="219" spans="1:7" x14ac:dyDescent="0.25">
      <c r="A219" t="s">
        <v>7</v>
      </c>
      <c r="B219" t="s">
        <v>12</v>
      </c>
      <c r="C219" s="1">
        <v>43828</v>
      </c>
      <c r="D219">
        <v>2019</v>
      </c>
      <c r="E219">
        <v>12</v>
      </c>
      <c r="F219">
        <v>0</v>
      </c>
      <c r="G219" t="s">
        <v>9</v>
      </c>
    </row>
    <row r="220" spans="1:7" x14ac:dyDescent="0.25">
      <c r="A220" t="s">
        <v>7</v>
      </c>
      <c r="B220" t="s">
        <v>8</v>
      </c>
      <c r="C220" s="1">
        <v>43468</v>
      </c>
      <c r="D220">
        <v>2019</v>
      </c>
      <c r="E220">
        <v>1</v>
      </c>
      <c r="F220">
        <v>0</v>
      </c>
      <c r="G220" t="s">
        <v>9</v>
      </c>
    </row>
    <row r="221" spans="1:7" x14ac:dyDescent="0.25">
      <c r="A221" t="s">
        <v>7</v>
      </c>
      <c r="B221" t="s">
        <v>8</v>
      </c>
      <c r="C221" s="1">
        <v>43471</v>
      </c>
      <c r="D221">
        <v>2019</v>
      </c>
      <c r="E221">
        <v>1</v>
      </c>
      <c r="F221">
        <v>0</v>
      </c>
      <c r="G221" t="s">
        <v>9</v>
      </c>
    </row>
    <row r="222" spans="1:7" x14ac:dyDescent="0.25">
      <c r="A222" t="s">
        <v>7</v>
      </c>
      <c r="B222" t="s">
        <v>8</v>
      </c>
      <c r="C222" s="1">
        <v>43474</v>
      </c>
      <c r="D222">
        <v>2019</v>
      </c>
      <c r="E222">
        <v>1</v>
      </c>
      <c r="F222">
        <v>0</v>
      </c>
      <c r="G222" t="s">
        <v>9</v>
      </c>
    </row>
    <row r="223" spans="1:7" x14ac:dyDescent="0.25">
      <c r="A223" t="s">
        <v>7</v>
      </c>
      <c r="B223" t="s">
        <v>8</v>
      </c>
      <c r="C223" s="1">
        <v>43481</v>
      </c>
      <c r="D223">
        <v>2019</v>
      </c>
      <c r="E223">
        <v>1</v>
      </c>
      <c r="F223">
        <v>0</v>
      </c>
      <c r="G223" t="s">
        <v>9</v>
      </c>
    </row>
    <row r="224" spans="1:7" x14ac:dyDescent="0.25">
      <c r="A224" t="s">
        <v>7</v>
      </c>
      <c r="B224" t="s">
        <v>8</v>
      </c>
      <c r="C224" s="1">
        <v>43485</v>
      </c>
      <c r="D224">
        <v>2019</v>
      </c>
      <c r="E224">
        <v>1</v>
      </c>
      <c r="F224">
        <v>0</v>
      </c>
      <c r="G224" t="s">
        <v>9</v>
      </c>
    </row>
    <row r="225" spans="1:7" x14ac:dyDescent="0.25">
      <c r="A225" t="s">
        <v>7</v>
      </c>
      <c r="B225" t="s">
        <v>8</v>
      </c>
      <c r="C225" s="1">
        <v>43488</v>
      </c>
      <c r="D225">
        <v>2019</v>
      </c>
      <c r="E225">
        <v>1</v>
      </c>
      <c r="F225">
        <v>0</v>
      </c>
      <c r="G225" t="s">
        <v>9</v>
      </c>
    </row>
    <row r="226" spans="1:7" x14ac:dyDescent="0.25">
      <c r="A226" t="s">
        <v>7</v>
      </c>
      <c r="B226" t="s">
        <v>8</v>
      </c>
      <c r="C226" s="1">
        <v>43489</v>
      </c>
      <c r="D226">
        <v>2019</v>
      </c>
      <c r="E226">
        <v>1</v>
      </c>
      <c r="F226">
        <v>0</v>
      </c>
      <c r="G226" t="s">
        <v>9</v>
      </c>
    </row>
    <row r="227" spans="1:7" x14ac:dyDescent="0.25">
      <c r="A227" t="s">
        <v>7</v>
      </c>
      <c r="B227" t="s">
        <v>8</v>
      </c>
      <c r="C227" s="1">
        <v>43499</v>
      </c>
      <c r="D227">
        <v>2019</v>
      </c>
      <c r="E227">
        <v>2</v>
      </c>
      <c r="F227">
        <v>0</v>
      </c>
      <c r="G227" t="s">
        <v>9</v>
      </c>
    </row>
    <row r="228" spans="1:7" x14ac:dyDescent="0.25">
      <c r="A228" t="s">
        <v>7</v>
      </c>
      <c r="B228" t="s">
        <v>8</v>
      </c>
      <c r="C228" s="1">
        <v>43506</v>
      </c>
      <c r="D228">
        <v>2019</v>
      </c>
      <c r="E228">
        <v>2</v>
      </c>
      <c r="F228">
        <v>0</v>
      </c>
      <c r="G228" t="s">
        <v>9</v>
      </c>
    </row>
    <row r="229" spans="1:7" x14ac:dyDescent="0.25">
      <c r="A229" t="s">
        <v>7</v>
      </c>
      <c r="B229" t="s">
        <v>8</v>
      </c>
      <c r="C229" s="1">
        <v>43512</v>
      </c>
      <c r="D229">
        <v>2019</v>
      </c>
      <c r="E229">
        <v>2</v>
      </c>
      <c r="F229">
        <v>0</v>
      </c>
      <c r="G229" t="s">
        <v>9</v>
      </c>
    </row>
    <row r="230" spans="1:7" x14ac:dyDescent="0.25">
      <c r="A230" t="s">
        <v>7</v>
      </c>
      <c r="B230" t="s">
        <v>8</v>
      </c>
      <c r="C230" s="1">
        <v>43516</v>
      </c>
      <c r="D230">
        <v>2019</v>
      </c>
      <c r="E230">
        <v>2</v>
      </c>
      <c r="F230">
        <v>0</v>
      </c>
      <c r="G230" t="s">
        <v>9</v>
      </c>
    </row>
    <row r="231" spans="1:7" x14ac:dyDescent="0.25">
      <c r="A231" t="s">
        <v>7</v>
      </c>
      <c r="B231" t="s">
        <v>8</v>
      </c>
      <c r="C231" s="1">
        <v>43524</v>
      </c>
      <c r="D231">
        <v>2019</v>
      </c>
      <c r="E231">
        <v>2</v>
      </c>
      <c r="F231">
        <v>0</v>
      </c>
      <c r="G231" t="s">
        <v>9</v>
      </c>
    </row>
    <row r="232" spans="1:7" x14ac:dyDescent="0.25">
      <c r="A232" t="s">
        <v>7</v>
      </c>
      <c r="B232" t="s">
        <v>8</v>
      </c>
      <c r="C232" s="1">
        <v>43522</v>
      </c>
      <c r="D232">
        <v>2019</v>
      </c>
      <c r="E232">
        <v>2</v>
      </c>
      <c r="F232">
        <v>0</v>
      </c>
      <c r="G232" t="s">
        <v>9</v>
      </c>
    </row>
    <row r="233" spans="1:7" x14ac:dyDescent="0.25">
      <c r="A233" t="s">
        <v>7</v>
      </c>
      <c r="B233" t="s">
        <v>8</v>
      </c>
      <c r="C233" s="1">
        <v>43529</v>
      </c>
      <c r="D233">
        <v>2019</v>
      </c>
      <c r="E233">
        <v>3</v>
      </c>
      <c r="F233">
        <v>0</v>
      </c>
      <c r="G233" t="s">
        <v>9</v>
      </c>
    </row>
    <row r="234" spans="1:7" x14ac:dyDescent="0.25">
      <c r="A234" t="s">
        <v>7</v>
      </c>
      <c r="B234" t="s">
        <v>8</v>
      </c>
      <c r="C234" s="1">
        <v>43534</v>
      </c>
      <c r="D234">
        <v>2019</v>
      </c>
      <c r="E234">
        <v>3</v>
      </c>
      <c r="F234">
        <v>0</v>
      </c>
      <c r="G234" t="s">
        <v>9</v>
      </c>
    </row>
    <row r="235" spans="1:7" x14ac:dyDescent="0.25">
      <c r="A235" t="s">
        <v>7</v>
      </c>
      <c r="B235" t="s">
        <v>8</v>
      </c>
      <c r="C235" s="1">
        <v>43538</v>
      </c>
      <c r="D235">
        <v>2019</v>
      </c>
      <c r="E235">
        <v>3</v>
      </c>
      <c r="F235">
        <v>0</v>
      </c>
      <c r="G235" t="s">
        <v>9</v>
      </c>
    </row>
    <row r="236" spans="1:7" x14ac:dyDescent="0.25">
      <c r="A236" t="s">
        <v>7</v>
      </c>
      <c r="B236" t="s">
        <v>8</v>
      </c>
      <c r="C236" s="1">
        <v>43542</v>
      </c>
      <c r="D236">
        <v>2019</v>
      </c>
      <c r="E236">
        <v>3</v>
      </c>
      <c r="F236">
        <v>0</v>
      </c>
      <c r="G236" t="s">
        <v>9</v>
      </c>
    </row>
    <row r="237" spans="1:7" x14ac:dyDescent="0.25">
      <c r="A237" t="s">
        <v>7</v>
      </c>
      <c r="B237" t="s">
        <v>8</v>
      </c>
      <c r="C237" s="1">
        <v>43550</v>
      </c>
      <c r="D237">
        <v>2019</v>
      </c>
      <c r="E237">
        <v>3</v>
      </c>
      <c r="F237">
        <v>0</v>
      </c>
      <c r="G237" t="s">
        <v>9</v>
      </c>
    </row>
    <row r="238" spans="1:7" x14ac:dyDescent="0.25">
      <c r="A238" t="s">
        <v>7</v>
      </c>
      <c r="B238" t="s">
        <v>8</v>
      </c>
      <c r="C238" s="1">
        <v>43554</v>
      </c>
      <c r="D238">
        <v>2019</v>
      </c>
      <c r="E238">
        <v>3</v>
      </c>
      <c r="F238">
        <v>0</v>
      </c>
      <c r="G238" t="s">
        <v>9</v>
      </c>
    </row>
    <row r="239" spans="1:7" x14ac:dyDescent="0.25">
      <c r="A239" t="s">
        <v>7</v>
      </c>
      <c r="B239" t="s">
        <v>8</v>
      </c>
      <c r="C239" s="1">
        <v>43555</v>
      </c>
      <c r="D239">
        <v>2019</v>
      </c>
      <c r="E239">
        <v>3</v>
      </c>
      <c r="F239">
        <v>0</v>
      </c>
      <c r="G239" t="s">
        <v>9</v>
      </c>
    </row>
    <row r="240" spans="1:7" x14ac:dyDescent="0.25">
      <c r="A240" t="s">
        <v>7</v>
      </c>
      <c r="B240" t="s">
        <v>8</v>
      </c>
      <c r="C240" s="1">
        <v>43559</v>
      </c>
      <c r="D240">
        <v>2019</v>
      </c>
      <c r="E240">
        <v>4</v>
      </c>
      <c r="F240">
        <v>0</v>
      </c>
      <c r="G240" t="s">
        <v>9</v>
      </c>
    </row>
    <row r="241" spans="1:7" x14ac:dyDescent="0.25">
      <c r="A241" t="s">
        <v>7</v>
      </c>
      <c r="B241" t="s">
        <v>8</v>
      </c>
      <c r="C241" s="1">
        <v>43577</v>
      </c>
      <c r="D241">
        <v>2019</v>
      </c>
      <c r="E241">
        <v>4</v>
      </c>
      <c r="F241">
        <v>0</v>
      </c>
      <c r="G241" t="s">
        <v>9</v>
      </c>
    </row>
    <row r="242" spans="1:7" x14ac:dyDescent="0.25">
      <c r="A242" t="s">
        <v>7</v>
      </c>
      <c r="B242" t="s">
        <v>8</v>
      </c>
      <c r="C242" s="1">
        <v>43579</v>
      </c>
      <c r="D242">
        <v>2019</v>
      </c>
      <c r="E242">
        <v>4</v>
      </c>
      <c r="F242">
        <v>0</v>
      </c>
      <c r="G242" t="s">
        <v>9</v>
      </c>
    </row>
    <row r="243" spans="1:7" x14ac:dyDescent="0.25">
      <c r="A243" t="s">
        <v>7</v>
      </c>
      <c r="B243" t="s">
        <v>8</v>
      </c>
      <c r="C243" s="1">
        <v>43583</v>
      </c>
      <c r="D243">
        <v>2019</v>
      </c>
      <c r="E243">
        <v>4</v>
      </c>
      <c r="F243">
        <v>0</v>
      </c>
      <c r="G243" t="s">
        <v>9</v>
      </c>
    </row>
    <row r="244" spans="1:7" x14ac:dyDescent="0.25">
      <c r="A244" t="s">
        <v>7</v>
      </c>
      <c r="B244" t="s">
        <v>8</v>
      </c>
      <c r="C244" s="1">
        <v>43584</v>
      </c>
      <c r="D244">
        <v>2019</v>
      </c>
      <c r="E244">
        <v>4</v>
      </c>
      <c r="F244">
        <v>0</v>
      </c>
      <c r="G244" t="s">
        <v>9</v>
      </c>
    </row>
    <row r="245" spans="1:7" x14ac:dyDescent="0.25">
      <c r="A245" t="s">
        <v>7</v>
      </c>
      <c r="B245" t="s">
        <v>8</v>
      </c>
      <c r="C245" s="1">
        <v>43600</v>
      </c>
      <c r="D245">
        <v>2019</v>
      </c>
      <c r="E245">
        <v>5</v>
      </c>
      <c r="F245">
        <v>0</v>
      </c>
      <c r="G245" t="s">
        <v>9</v>
      </c>
    </row>
    <row r="246" spans="1:7" x14ac:dyDescent="0.25">
      <c r="A246" t="s">
        <v>7</v>
      </c>
      <c r="B246" t="s">
        <v>8</v>
      </c>
      <c r="C246" s="1">
        <v>43606</v>
      </c>
      <c r="D246">
        <v>2019</v>
      </c>
      <c r="E246">
        <v>5</v>
      </c>
      <c r="F246">
        <v>0</v>
      </c>
      <c r="G246" t="s">
        <v>9</v>
      </c>
    </row>
    <row r="247" spans="1:7" x14ac:dyDescent="0.25">
      <c r="A247" t="s">
        <v>7</v>
      </c>
      <c r="B247" t="s">
        <v>8</v>
      </c>
      <c r="C247" s="1">
        <v>43607</v>
      </c>
      <c r="D247">
        <v>2019</v>
      </c>
      <c r="E247">
        <v>5</v>
      </c>
      <c r="F247">
        <v>0</v>
      </c>
      <c r="G247" t="s">
        <v>9</v>
      </c>
    </row>
    <row r="248" spans="1:7" x14ac:dyDescent="0.25">
      <c r="A248" t="s">
        <v>7</v>
      </c>
      <c r="B248" t="s">
        <v>8</v>
      </c>
      <c r="C248" s="1">
        <v>43612</v>
      </c>
      <c r="D248">
        <v>2019</v>
      </c>
      <c r="E248">
        <v>5</v>
      </c>
      <c r="F248">
        <v>0</v>
      </c>
      <c r="G248" t="s">
        <v>9</v>
      </c>
    </row>
    <row r="249" spans="1:7" x14ac:dyDescent="0.25">
      <c r="A249" t="s">
        <v>7</v>
      </c>
      <c r="B249" t="s">
        <v>8</v>
      </c>
      <c r="C249" s="1">
        <v>43613</v>
      </c>
      <c r="D249">
        <v>2019</v>
      </c>
      <c r="E249">
        <v>5</v>
      </c>
      <c r="F249">
        <v>0</v>
      </c>
      <c r="G249" t="s">
        <v>9</v>
      </c>
    </row>
    <row r="250" spans="1:7" x14ac:dyDescent="0.25">
      <c r="A250" t="s">
        <v>7</v>
      </c>
      <c r="B250" t="s">
        <v>8</v>
      </c>
      <c r="C250" s="1">
        <v>43618</v>
      </c>
      <c r="D250">
        <v>2019</v>
      </c>
      <c r="E250">
        <v>6</v>
      </c>
      <c r="F250">
        <v>0</v>
      </c>
      <c r="G250" t="s">
        <v>9</v>
      </c>
    </row>
    <row r="251" spans="1:7" x14ac:dyDescent="0.25">
      <c r="A251" t="s">
        <v>7</v>
      </c>
      <c r="B251" t="s">
        <v>8</v>
      </c>
      <c r="C251" s="1">
        <v>43630</v>
      </c>
      <c r="D251">
        <v>2019</v>
      </c>
      <c r="E251">
        <v>6</v>
      </c>
      <c r="F251">
        <v>1.92434408</v>
      </c>
      <c r="G251" t="s">
        <v>9</v>
      </c>
    </row>
    <row r="252" spans="1:7" x14ac:dyDescent="0.25">
      <c r="A252" t="s">
        <v>7</v>
      </c>
      <c r="B252" t="s">
        <v>8</v>
      </c>
      <c r="C252" s="1">
        <v>43634</v>
      </c>
      <c r="D252">
        <v>2019</v>
      </c>
      <c r="E252">
        <v>6</v>
      </c>
      <c r="F252">
        <v>0</v>
      </c>
      <c r="G252" t="s">
        <v>9</v>
      </c>
    </row>
    <row r="253" spans="1:7" x14ac:dyDescent="0.25">
      <c r="A253" t="s">
        <v>7</v>
      </c>
      <c r="B253" t="s">
        <v>8</v>
      </c>
      <c r="C253" s="1">
        <v>43641</v>
      </c>
      <c r="D253">
        <v>2019</v>
      </c>
      <c r="E253">
        <v>6</v>
      </c>
      <c r="F253">
        <v>2.7307120060000001</v>
      </c>
      <c r="G253" t="s">
        <v>9</v>
      </c>
    </row>
    <row r="254" spans="1:7" x14ac:dyDescent="0.25">
      <c r="A254" t="s">
        <v>7</v>
      </c>
      <c r="B254" t="s">
        <v>8</v>
      </c>
      <c r="C254" s="1">
        <v>43649</v>
      </c>
      <c r="D254">
        <v>2019</v>
      </c>
      <c r="E254">
        <v>7</v>
      </c>
      <c r="F254">
        <v>0</v>
      </c>
      <c r="G254" t="s">
        <v>9</v>
      </c>
    </row>
    <row r="255" spans="1:7" x14ac:dyDescent="0.25">
      <c r="A255" t="s">
        <v>7</v>
      </c>
      <c r="B255" t="s">
        <v>8</v>
      </c>
      <c r="C255" s="1">
        <v>43651</v>
      </c>
      <c r="D255">
        <v>2019</v>
      </c>
      <c r="E255">
        <v>7</v>
      </c>
      <c r="F255">
        <v>0</v>
      </c>
      <c r="G255" t="s">
        <v>9</v>
      </c>
    </row>
    <row r="256" spans="1:7" x14ac:dyDescent="0.25">
      <c r="A256" t="s">
        <v>7</v>
      </c>
      <c r="B256" t="s">
        <v>8</v>
      </c>
      <c r="C256" s="1">
        <v>43655</v>
      </c>
      <c r="D256">
        <v>2019</v>
      </c>
      <c r="E256">
        <v>7</v>
      </c>
      <c r="F256">
        <v>1.0171021000000001E-2</v>
      </c>
      <c r="G256" t="s">
        <v>9</v>
      </c>
    </row>
    <row r="257" spans="1:7" x14ac:dyDescent="0.25">
      <c r="A257" t="s">
        <v>7</v>
      </c>
      <c r="B257" t="s">
        <v>8</v>
      </c>
      <c r="C257" s="1">
        <v>43658</v>
      </c>
      <c r="D257">
        <v>2019</v>
      </c>
      <c r="E257">
        <v>7</v>
      </c>
      <c r="F257">
        <v>6.8374897570000002</v>
      </c>
      <c r="G257" t="s">
        <v>9</v>
      </c>
    </row>
    <row r="258" spans="1:7" x14ac:dyDescent="0.25">
      <c r="A258" t="s">
        <v>7</v>
      </c>
      <c r="B258" t="s">
        <v>8</v>
      </c>
      <c r="C258" s="1">
        <v>43661</v>
      </c>
      <c r="D258">
        <v>2019</v>
      </c>
      <c r="E258">
        <v>7</v>
      </c>
      <c r="F258">
        <v>0</v>
      </c>
      <c r="G258" t="s">
        <v>9</v>
      </c>
    </row>
    <row r="259" spans="1:7" x14ac:dyDescent="0.25">
      <c r="A259" t="s">
        <v>7</v>
      </c>
      <c r="B259" t="s">
        <v>8</v>
      </c>
      <c r="C259" s="1">
        <v>43664</v>
      </c>
      <c r="D259">
        <v>2019</v>
      </c>
      <c r="E259">
        <v>7</v>
      </c>
      <c r="F259">
        <v>1.1866191999999999E-2</v>
      </c>
      <c r="G259" t="s">
        <v>9</v>
      </c>
    </row>
    <row r="260" spans="1:7" x14ac:dyDescent="0.25">
      <c r="A260" t="s">
        <v>7</v>
      </c>
      <c r="B260" t="s">
        <v>8</v>
      </c>
      <c r="C260" s="1">
        <v>43671</v>
      </c>
      <c r="D260">
        <v>2019</v>
      </c>
      <c r="E260">
        <v>7</v>
      </c>
      <c r="F260">
        <v>5.9332563580000004</v>
      </c>
      <c r="G260" t="s">
        <v>9</v>
      </c>
    </row>
    <row r="261" spans="1:7" x14ac:dyDescent="0.25">
      <c r="A261" t="s">
        <v>7</v>
      </c>
      <c r="B261" t="s">
        <v>8</v>
      </c>
      <c r="C261" s="1">
        <v>43673</v>
      </c>
      <c r="D261">
        <v>2019</v>
      </c>
      <c r="E261">
        <v>7</v>
      </c>
      <c r="F261">
        <v>1.5016564080000001</v>
      </c>
      <c r="G261" t="s">
        <v>9</v>
      </c>
    </row>
    <row r="262" spans="1:7" x14ac:dyDescent="0.25">
      <c r="A262" t="s">
        <v>7</v>
      </c>
      <c r="B262" t="s">
        <v>8</v>
      </c>
      <c r="C262" s="1">
        <v>43678</v>
      </c>
      <c r="D262">
        <v>2019</v>
      </c>
      <c r="E262">
        <v>8</v>
      </c>
      <c r="F262">
        <v>0</v>
      </c>
      <c r="G262" t="s">
        <v>9</v>
      </c>
    </row>
    <row r="263" spans="1:7" x14ac:dyDescent="0.25">
      <c r="A263" t="s">
        <v>7</v>
      </c>
      <c r="B263" t="s">
        <v>8</v>
      </c>
      <c r="C263" s="1">
        <v>43680</v>
      </c>
      <c r="D263">
        <v>2019</v>
      </c>
      <c r="E263">
        <v>8</v>
      </c>
      <c r="F263">
        <v>0</v>
      </c>
      <c r="G263" t="s">
        <v>9</v>
      </c>
    </row>
    <row r="264" spans="1:7" x14ac:dyDescent="0.25">
      <c r="A264" t="s">
        <v>7</v>
      </c>
      <c r="B264" t="s">
        <v>8</v>
      </c>
      <c r="C264" s="1">
        <v>43681</v>
      </c>
      <c r="D264">
        <v>2019</v>
      </c>
      <c r="E264">
        <v>8</v>
      </c>
      <c r="F264">
        <v>0</v>
      </c>
      <c r="G264" t="s">
        <v>9</v>
      </c>
    </row>
    <row r="265" spans="1:7" x14ac:dyDescent="0.25">
      <c r="A265" t="s">
        <v>7</v>
      </c>
      <c r="B265" t="s">
        <v>8</v>
      </c>
      <c r="C265" s="1">
        <v>43682</v>
      </c>
      <c r="D265">
        <v>2019</v>
      </c>
      <c r="E265">
        <v>8</v>
      </c>
      <c r="F265">
        <v>0</v>
      </c>
      <c r="G265" t="s">
        <v>9</v>
      </c>
    </row>
    <row r="266" spans="1:7" x14ac:dyDescent="0.25">
      <c r="A266" t="s">
        <v>7</v>
      </c>
      <c r="B266" t="s">
        <v>8</v>
      </c>
      <c r="C266" s="1">
        <v>43687</v>
      </c>
      <c r="D266">
        <v>2019</v>
      </c>
      <c r="E266">
        <v>8</v>
      </c>
      <c r="F266">
        <v>0</v>
      </c>
      <c r="G266" t="s">
        <v>9</v>
      </c>
    </row>
    <row r="267" spans="1:7" x14ac:dyDescent="0.25">
      <c r="A267" t="s">
        <v>7</v>
      </c>
      <c r="B267" t="s">
        <v>8</v>
      </c>
      <c r="C267" s="1">
        <v>43704</v>
      </c>
      <c r="D267">
        <v>2019</v>
      </c>
      <c r="E267">
        <v>8</v>
      </c>
      <c r="F267">
        <v>0</v>
      </c>
      <c r="G267" t="s">
        <v>9</v>
      </c>
    </row>
    <row r="268" spans="1:7" x14ac:dyDescent="0.25">
      <c r="A268" t="s">
        <v>7</v>
      </c>
      <c r="B268" t="s">
        <v>8</v>
      </c>
      <c r="C268" s="1">
        <v>43708</v>
      </c>
      <c r="D268">
        <v>2019</v>
      </c>
      <c r="E268">
        <v>8</v>
      </c>
      <c r="F268">
        <v>0.461226107</v>
      </c>
      <c r="G268" t="s">
        <v>9</v>
      </c>
    </row>
    <row r="269" spans="1:7" x14ac:dyDescent="0.25">
      <c r="A269" t="s">
        <v>7</v>
      </c>
      <c r="B269" t="s">
        <v>8</v>
      </c>
      <c r="C269" s="1">
        <v>43714</v>
      </c>
      <c r="D269">
        <v>2019</v>
      </c>
      <c r="E269">
        <v>9</v>
      </c>
      <c r="F269">
        <v>0</v>
      </c>
      <c r="G269" t="s">
        <v>9</v>
      </c>
    </row>
    <row r="270" spans="1:7" x14ac:dyDescent="0.25">
      <c r="A270" t="s">
        <v>7</v>
      </c>
      <c r="B270" t="s">
        <v>8</v>
      </c>
      <c r="C270" s="1">
        <v>43715</v>
      </c>
      <c r="D270">
        <v>2019</v>
      </c>
      <c r="E270">
        <v>9</v>
      </c>
      <c r="F270">
        <v>5.2936508330000001</v>
      </c>
      <c r="G270" t="s">
        <v>9</v>
      </c>
    </row>
    <row r="271" spans="1:7" x14ac:dyDescent="0.25">
      <c r="A271" t="s">
        <v>7</v>
      </c>
      <c r="B271" t="s">
        <v>8</v>
      </c>
      <c r="C271" s="1">
        <v>43716</v>
      </c>
      <c r="D271">
        <v>2019</v>
      </c>
      <c r="E271">
        <v>9</v>
      </c>
      <c r="F271">
        <v>0</v>
      </c>
      <c r="G271" t="s">
        <v>9</v>
      </c>
    </row>
    <row r="272" spans="1:7" x14ac:dyDescent="0.25">
      <c r="A272" t="s">
        <v>7</v>
      </c>
      <c r="B272" t="s">
        <v>8</v>
      </c>
      <c r="C272" s="1">
        <v>43717</v>
      </c>
      <c r="D272">
        <v>2019</v>
      </c>
      <c r="E272">
        <v>9</v>
      </c>
      <c r="F272">
        <v>0</v>
      </c>
      <c r="G272" t="s">
        <v>9</v>
      </c>
    </row>
    <row r="273" spans="1:7" x14ac:dyDescent="0.25">
      <c r="A273" t="s">
        <v>7</v>
      </c>
      <c r="B273" t="s">
        <v>8</v>
      </c>
      <c r="C273" s="1">
        <v>43719</v>
      </c>
      <c r="D273">
        <v>2019</v>
      </c>
      <c r="E273">
        <v>9</v>
      </c>
      <c r="F273">
        <v>5.0027205329999997</v>
      </c>
      <c r="G273" t="s">
        <v>9</v>
      </c>
    </row>
    <row r="274" spans="1:7" x14ac:dyDescent="0.25">
      <c r="A274" t="s">
        <v>7</v>
      </c>
      <c r="B274" t="s">
        <v>8</v>
      </c>
      <c r="C274" s="1">
        <v>43721</v>
      </c>
      <c r="D274">
        <v>2019</v>
      </c>
      <c r="E274">
        <v>9</v>
      </c>
      <c r="F274">
        <v>2.014375019</v>
      </c>
      <c r="G274" t="s">
        <v>9</v>
      </c>
    </row>
    <row r="275" spans="1:7" x14ac:dyDescent="0.25">
      <c r="A275" t="s">
        <v>7</v>
      </c>
      <c r="B275" t="s">
        <v>8</v>
      </c>
      <c r="C275" s="1">
        <v>43722</v>
      </c>
      <c r="D275">
        <v>2019</v>
      </c>
      <c r="E275">
        <v>9</v>
      </c>
      <c r="F275">
        <v>19.559510280000001</v>
      </c>
      <c r="G275" t="s">
        <v>9</v>
      </c>
    </row>
    <row r="276" spans="1:7" x14ac:dyDescent="0.25">
      <c r="A276" t="s">
        <v>7</v>
      </c>
      <c r="B276" t="s">
        <v>8</v>
      </c>
      <c r="C276" s="1">
        <v>43725</v>
      </c>
      <c r="D276">
        <v>2019</v>
      </c>
      <c r="E276">
        <v>9</v>
      </c>
      <c r="F276">
        <v>6.5319488879999996</v>
      </c>
      <c r="G276" t="s">
        <v>9</v>
      </c>
    </row>
    <row r="277" spans="1:7" x14ac:dyDescent="0.25">
      <c r="A277" t="s">
        <v>7</v>
      </c>
      <c r="B277" t="s">
        <v>8</v>
      </c>
      <c r="C277" s="1">
        <v>43726</v>
      </c>
      <c r="D277">
        <v>2019</v>
      </c>
      <c r="E277">
        <v>9</v>
      </c>
      <c r="F277">
        <v>11.545553569999999</v>
      </c>
      <c r="G277" t="s">
        <v>9</v>
      </c>
    </row>
    <row r="278" spans="1:7" x14ac:dyDescent="0.25">
      <c r="A278" t="s">
        <v>7</v>
      </c>
      <c r="B278" t="s">
        <v>8</v>
      </c>
      <c r="C278" s="1">
        <v>43729</v>
      </c>
      <c r="D278">
        <v>2019</v>
      </c>
      <c r="E278">
        <v>9</v>
      </c>
      <c r="F278">
        <v>0</v>
      </c>
      <c r="G278" t="s">
        <v>9</v>
      </c>
    </row>
    <row r="279" spans="1:7" x14ac:dyDescent="0.25">
      <c r="A279" t="s">
        <v>7</v>
      </c>
      <c r="B279" t="s">
        <v>8</v>
      </c>
      <c r="C279" s="1">
        <v>43731</v>
      </c>
      <c r="D279">
        <v>2019</v>
      </c>
      <c r="E279">
        <v>9</v>
      </c>
      <c r="F279">
        <v>2.2037214999999999E-2</v>
      </c>
      <c r="G279" t="s">
        <v>9</v>
      </c>
    </row>
    <row r="280" spans="1:7" x14ac:dyDescent="0.25">
      <c r="A280" t="s">
        <v>7</v>
      </c>
      <c r="B280" t="s">
        <v>8</v>
      </c>
      <c r="C280" s="1">
        <v>43738</v>
      </c>
      <c r="D280">
        <v>2019</v>
      </c>
      <c r="E280">
        <v>9</v>
      </c>
      <c r="F280">
        <v>3.7848877879999998</v>
      </c>
      <c r="G280" t="s">
        <v>9</v>
      </c>
    </row>
    <row r="281" spans="1:7" x14ac:dyDescent="0.25">
      <c r="A281" t="s">
        <v>7</v>
      </c>
      <c r="B281" t="s">
        <v>11</v>
      </c>
      <c r="C281" s="1">
        <v>43469</v>
      </c>
      <c r="D281">
        <v>2019</v>
      </c>
      <c r="E281">
        <v>1</v>
      </c>
      <c r="F281">
        <v>0</v>
      </c>
      <c r="G281" t="s">
        <v>9</v>
      </c>
    </row>
    <row r="282" spans="1:7" x14ac:dyDescent="0.25">
      <c r="A282" t="s">
        <v>7</v>
      </c>
      <c r="B282" t="s">
        <v>11</v>
      </c>
      <c r="C282" s="1">
        <v>43472</v>
      </c>
      <c r="D282">
        <v>2019</v>
      </c>
      <c r="E282">
        <v>1</v>
      </c>
      <c r="F282">
        <v>0</v>
      </c>
      <c r="G282" t="s">
        <v>9</v>
      </c>
    </row>
    <row r="283" spans="1:7" x14ac:dyDescent="0.25">
      <c r="A283" t="s">
        <v>7</v>
      </c>
      <c r="B283" t="s">
        <v>11</v>
      </c>
      <c r="C283" s="1">
        <v>43475</v>
      </c>
      <c r="D283">
        <v>2019</v>
      </c>
      <c r="E283">
        <v>1</v>
      </c>
      <c r="F283">
        <v>0</v>
      </c>
      <c r="G283" t="s">
        <v>9</v>
      </c>
    </row>
    <row r="284" spans="1:7" x14ac:dyDescent="0.25">
      <c r="A284" t="s">
        <v>7</v>
      </c>
      <c r="B284" t="s">
        <v>11</v>
      </c>
      <c r="C284" s="1">
        <v>43480</v>
      </c>
      <c r="D284">
        <v>2019</v>
      </c>
      <c r="E284">
        <v>1</v>
      </c>
      <c r="F284">
        <v>0</v>
      </c>
      <c r="G284" t="s">
        <v>9</v>
      </c>
    </row>
    <row r="285" spans="1:7" x14ac:dyDescent="0.25">
      <c r="A285" t="s">
        <v>7</v>
      </c>
      <c r="B285" t="s">
        <v>11</v>
      </c>
      <c r="C285" s="1">
        <v>43483</v>
      </c>
      <c r="D285">
        <v>2019</v>
      </c>
      <c r="E285">
        <v>1</v>
      </c>
      <c r="F285">
        <v>0</v>
      </c>
      <c r="G285" t="s">
        <v>9</v>
      </c>
    </row>
    <row r="286" spans="1:7" x14ac:dyDescent="0.25">
      <c r="A286" t="s">
        <v>7</v>
      </c>
      <c r="B286" t="s">
        <v>11</v>
      </c>
      <c r="C286" s="1">
        <v>43484</v>
      </c>
      <c r="D286">
        <v>2019</v>
      </c>
      <c r="E286">
        <v>1</v>
      </c>
      <c r="F286">
        <v>0</v>
      </c>
      <c r="G286" t="s">
        <v>9</v>
      </c>
    </row>
    <row r="287" spans="1:7" x14ac:dyDescent="0.25">
      <c r="A287" t="s">
        <v>7</v>
      </c>
      <c r="B287" t="s">
        <v>11</v>
      </c>
      <c r="C287" s="1">
        <v>43489</v>
      </c>
      <c r="D287">
        <v>2019</v>
      </c>
      <c r="E287">
        <v>1</v>
      </c>
      <c r="F287">
        <v>0</v>
      </c>
      <c r="G287" t="s">
        <v>9</v>
      </c>
    </row>
    <row r="288" spans="1:7" x14ac:dyDescent="0.25">
      <c r="A288" t="s">
        <v>7</v>
      </c>
      <c r="B288" t="s">
        <v>11</v>
      </c>
      <c r="C288" s="1">
        <v>43498</v>
      </c>
      <c r="D288">
        <v>2019</v>
      </c>
      <c r="E288">
        <v>2</v>
      </c>
      <c r="F288">
        <v>0</v>
      </c>
      <c r="G288" t="s">
        <v>9</v>
      </c>
    </row>
    <row r="289" spans="1:7" x14ac:dyDescent="0.25">
      <c r="A289" t="s">
        <v>7</v>
      </c>
      <c r="B289" t="s">
        <v>11</v>
      </c>
      <c r="C289" s="1">
        <v>43502</v>
      </c>
      <c r="D289">
        <v>2019</v>
      </c>
      <c r="E289">
        <v>2</v>
      </c>
      <c r="F289">
        <v>0</v>
      </c>
      <c r="G289" t="s">
        <v>9</v>
      </c>
    </row>
    <row r="290" spans="1:7" x14ac:dyDescent="0.25">
      <c r="A290" t="s">
        <v>7</v>
      </c>
      <c r="B290" t="s">
        <v>11</v>
      </c>
      <c r="C290" s="1">
        <v>43504</v>
      </c>
      <c r="D290">
        <v>2019</v>
      </c>
      <c r="E290">
        <v>2</v>
      </c>
      <c r="F290">
        <v>0</v>
      </c>
      <c r="G290" t="s">
        <v>9</v>
      </c>
    </row>
    <row r="291" spans="1:7" x14ac:dyDescent="0.25">
      <c r="A291" t="s">
        <v>7</v>
      </c>
      <c r="B291" t="s">
        <v>11</v>
      </c>
      <c r="C291" s="1">
        <v>43505</v>
      </c>
      <c r="D291">
        <v>2019</v>
      </c>
      <c r="E291">
        <v>2</v>
      </c>
      <c r="F291">
        <v>0</v>
      </c>
      <c r="G291" t="s">
        <v>9</v>
      </c>
    </row>
    <row r="292" spans="1:7" x14ac:dyDescent="0.25">
      <c r="A292" t="s">
        <v>7</v>
      </c>
      <c r="B292" t="s">
        <v>11</v>
      </c>
      <c r="C292" s="1">
        <v>43507</v>
      </c>
      <c r="D292">
        <v>2019</v>
      </c>
      <c r="E292">
        <v>2</v>
      </c>
      <c r="F292">
        <v>0</v>
      </c>
      <c r="G292" t="s">
        <v>9</v>
      </c>
    </row>
    <row r="293" spans="1:7" x14ac:dyDescent="0.25">
      <c r="A293" t="s">
        <v>7</v>
      </c>
      <c r="B293" t="s">
        <v>11</v>
      </c>
      <c r="C293" s="1">
        <v>43516</v>
      </c>
      <c r="D293">
        <v>2019</v>
      </c>
      <c r="E293">
        <v>2</v>
      </c>
      <c r="F293">
        <v>0</v>
      </c>
      <c r="G293" t="s">
        <v>9</v>
      </c>
    </row>
    <row r="294" spans="1:7" x14ac:dyDescent="0.25">
      <c r="A294" t="s">
        <v>7</v>
      </c>
      <c r="B294" t="s">
        <v>11</v>
      </c>
      <c r="C294" s="1">
        <v>43526</v>
      </c>
      <c r="D294">
        <v>2019</v>
      </c>
      <c r="E294">
        <v>3</v>
      </c>
      <c r="F294">
        <v>0</v>
      </c>
      <c r="G294" t="s">
        <v>9</v>
      </c>
    </row>
    <row r="295" spans="1:7" x14ac:dyDescent="0.25">
      <c r="A295" t="s">
        <v>7</v>
      </c>
      <c r="B295" t="s">
        <v>11</v>
      </c>
      <c r="C295" s="1">
        <v>43530</v>
      </c>
      <c r="D295">
        <v>2019</v>
      </c>
      <c r="E295">
        <v>3</v>
      </c>
      <c r="F295">
        <v>0</v>
      </c>
      <c r="G295" t="s">
        <v>9</v>
      </c>
    </row>
    <row r="296" spans="1:7" x14ac:dyDescent="0.25">
      <c r="A296" t="s">
        <v>7</v>
      </c>
      <c r="B296" t="s">
        <v>11</v>
      </c>
      <c r="C296" s="1">
        <v>43535</v>
      </c>
      <c r="D296">
        <v>2019</v>
      </c>
      <c r="E296">
        <v>3</v>
      </c>
      <c r="F296">
        <v>0</v>
      </c>
      <c r="G296" t="s">
        <v>9</v>
      </c>
    </row>
    <row r="297" spans="1:7" x14ac:dyDescent="0.25">
      <c r="A297" t="s">
        <v>7</v>
      </c>
      <c r="B297" t="s">
        <v>11</v>
      </c>
      <c r="C297" s="1">
        <v>43537</v>
      </c>
      <c r="D297">
        <v>2019</v>
      </c>
      <c r="E297">
        <v>3</v>
      </c>
      <c r="F297">
        <v>0</v>
      </c>
      <c r="G297" t="s">
        <v>9</v>
      </c>
    </row>
    <row r="298" spans="1:7" x14ac:dyDescent="0.25">
      <c r="A298" t="s">
        <v>7</v>
      </c>
      <c r="B298" t="s">
        <v>11</v>
      </c>
      <c r="C298" s="1">
        <v>43539</v>
      </c>
      <c r="D298">
        <v>2019</v>
      </c>
      <c r="E298">
        <v>3</v>
      </c>
      <c r="F298">
        <v>0</v>
      </c>
      <c r="G298" t="s">
        <v>9</v>
      </c>
    </row>
    <row r="299" spans="1:7" x14ac:dyDescent="0.25">
      <c r="A299" t="s">
        <v>7</v>
      </c>
      <c r="B299" t="s">
        <v>11</v>
      </c>
      <c r="C299" s="1">
        <v>43541</v>
      </c>
      <c r="D299">
        <v>2019</v>
      </c>
      <c r="E299">
        <v>3</v>
      </c>
      <c r="F299">
        <v>0</v>
      </c>
      <c r="G299" t="s">
        <v>9</v>
      </c>
    </row>
    <row r="300" spans="1:7" x14ac:dyDescent="0.25">
      <c r="A300" t="s">
        <v>7</v>
      </c>
      <c r="B300" t="s">
        <v>11</v>
      </c>
      <c r="C300" s="1">
        <v>43542</v>
      </c>
      <c r="D300">
        <v>2019</v>
      </c>
      <c r="E300">
        <v>3</v>
      </c>
      <c r="F300">
        <v>0</v>
      </c>
      <c r="G300" t="s">
        <v>9</v>
      </c>
    </row>
    <row r="301" spans="1:7" x14ac:dyDescent="0.25">
      <c r="A301" t="s">
        <v>7</v>
      </c>
      <c r="B301" t="s">
        <v>11</v>
      </c>
      <c r="C301" s="1">
        <v>43546</v>
      </c>
      <c r="D301">
        <v>2019</v>
      </c>
      <c r="E301">
        <v>3</v>
      </c>
      <c r="F301">
        <v>0</v>
      </c>
      <c r="G301" t="s">
        <v>9</v>
      </c>
    </row>
    <row r="302" spans="1:7" x14ac:dyDescent="0.25">
      <c r="A302" t="s">
        <v>7</v>
      </c>
      <c r="B302" t="s">
        <v>11</v>
      </c>
      <c r="C302" s="1">
        <v>43548</v>
      </c>
      <c r="D302">
        <v>2019</v>
      </c>
      <c r="E302">
        <v>3</v>
      </c>
      <c r="F302">
        <v>0</v>
      </c>
      <c r="G302" t="s">
        <v>9</v>
      </c>
    </row>
    <row r="303" spans="1:7" x14ac:dyDescent="0.25">
      <c r="A303" t="s">
        <v>7</v>
      </c>
      <c r="B303" t="s">
        <v>11</v>
      </c>
      <c r="C303" s="1">
        <v>43553</v>
      </c>
      <c r="D303">
        <v>2019</v>
      </c>
      <c r="E303">
        <v>3</v>
      </c>
      <c r="F303">
        <v>0</v>
      </c>
      <c r="G303" t="s">
        <v>9</v>
      </c>
    </row>
    <row r="304" spans="1:7" x14ac:dyDescent="0.25">
      <c r="A304" t="s">
        <v>7</v>
      </c>
      <c r="B304" t="s">
        <v>11</v>
      </c>
      <c r="C304" s="1">
        <v>43560</v>
      </c>
      <c r="D304">
        <v>2019</v>
      </c>
      <c r="E304">
        <v>4</v>
      </c>
      <c r="F304">
        <v>0</v>
      </c>
      <c r="G304" t="s">
        <v>9</v>
      </c>
    </row>
    <row r="305" spans="1:7" x14ac:dyDescent="0.25">
      <c r="A305" t="s">
        <v>7</v>
      </c>
      <c r="B305" t="s">
        <v>10</v>
      </c>
      <c r="C305" s="1">
        <v>43772</v>
      </c>
      <c r="D305">
        <v>2019</v>
      </c>
      <c r="E305">
        <v>11</v>
      </c>
      <c r="F305">
        <v>5.1828541760000002</v>
      </c>
      <c r="G305" t="s">
        <v>9</v>
      </c>
    </row>
    <row r="306" spans="1:7" x14ac:dyDescent="0.25">
      <c r="A306" t="s">
        <v>7</v>
      </c>
      <c r="B306" t="s">
        <v>10</v>
      </c>
      <c r="C306" s="1">
        <v>43779</v>
      </c>
      <c r="D306">
        <v>2019</v>
      </c>
      <c r="E306">
        <v>11</v>
      </c>
      <c r="F306">
        <v>0</v>
      </c>
      <c r="G306" t="s">
        <v>9</v>
      </c>
    </row>
    <row r="307" spans="1:7" x14ac:dyDescent="0.25">
      <c r="A307" t="s">
        <v>7</v>
      </c>
      <c r="B307" t="s">
        <v>10</v>
      </c>
      <c r="C307" s="1">
        <v>43784</v>
      </c>
      <c r="D307">
        <v>2019</v>
      </c>
      <c r="E307">
        <v>11</v>
      </c>
      <c r="F307">
        <v>0</v>
      </c>
      <c r="G307" t="s">
        <v>9</v>
      </c>
    </row>
    <row r="308" spans="1:7" x14ac:dyDescent="0.25">
      <c r="A308" t="s">
        <v>7</v>
      </c>
      <c r="B308" t="s">
        <v>10</v>
      </c>
      <c r="C308" s="1">
        <v>43789</v>
      </c>
      <c r="D308">
        <v>2019</v>
      </c>
      <c r="E308">
        <v>11</v>
      </c>
      <c r="F308">
        <v>0</v>
      </c>
      <c r="G308" t="s">
        <v>9</v>
      </c>
    </row>
    <row r="309" spans="1:7" x14ac:dyDescent="0.25">
      <c r="A309" t="s">
        <v>7</v>
      </c>
      <c r="B309" t="s">
        <v>10</v>
      </c>
      <c r="C309" s="1">
        <v>43803</v>
      </c>
      <c r="D309">
        <v>2019</v>
      </c>
      <c r="E309">
        <v>12</v>
      </c>
      <c r="F309">
        <v>0</v>
      </c>
      <c r="G309" t="s">
        <v>9</v>
      </c>
    </row>
    <row r="310" spans="1:7" x14ac:dyDescent="0.25">
      <c r="A310" t="s">
        <v>7</v>
      </c>
      <c r="B310" t="s">
        <v>10</v>
      </c>
      <c r="C310" s="1">
        <v>43805</v>
      </c>
      <c r="D310">
        <v>2019</v>
      </c>
      <c r="E310">
        <v>12</v>
      </c>
      <c r="F310">
        <v>0</v>
      </c>
      <c r="G310" t="s">
        <v>9</v>
      </c>
    </row>
    <row r="311" spans="1:7" x14ac:dyDescent="0.25">
      <c r="A311" t="s">
        <v>7</v>
      </c>
      <c r="B311" t="s">
        <v>10</v>
      </c>
      <c r="C311" s="1">
        <v>43808</v>
      </c>
      <c r="D311">
        <v>2019</v>
      </c>
      <c r="E311">
        <v>12</v>
      </c>
      <c r="F311">
        <v>0</v>
      </c>
      <c r="G311" t="s">
        <v>9</v>
      </c>
    </row>
    <row r="312" spans="1:7" x14ac:dyDescent="0.25">
      <c r="A312" t="s">
        <v>7</v>
      </c>
      <c r="B312" t="s">
        <v>10</v>
      </c>
      <c r="C312" s="1">
        <v>43806</v>
      </c>
      <c r="D312">
        <v>2019</v>
      </c>
      <c r="E312">
        <v>12</v>
      </c>
      <c r="F312">
        <v>0</v>
      </c>
      <c r="G312" t="s">
        <v>9</v>
      </c>
    </row>
    <row r="313" spans="1:7" x14ac:dyDescent="0.25">
      <c r="A313" t="s">
        <v>7</v>
      </c>
      <c r="B313" t="s">
        <v>10</v>
      </c>
      <c r="C313" s="1">
        <v>43811</v>
      </c>
      <c r="D313">
        <v>2019</v>
      </c>
      <c r="E313">
        <v>12</v>
      </c>
      <c r="F313">
        <v>0</v>
      </c>
      <c r="G313" t="s">
        <v>9</v>
      </c>
    </row>
    <row r="314" spans="1:7" x14ac:dyDescent="0.25">
      <c r="A314" t="s">
        <v>7</v>
      </c>
      <c r="B314" t="s">
        <v>10</v>
      </c>
      <c r="C314" s="1">
        <v>43818</v>
      </c>
      <c r="D314">
        <v>2019</v>
      </c>
      <c r="E314">
        <v>12</v>
      </c>
      <c r="F314">
        <v>0</v>
      </c>
      <c r="G314" t="s">
        <v>9</v>
      </c>
    </row>
    <row r="315" spans="1:7" x14ac:dyDescent="0.25">
      <c r="A315" t="s">
        <v>7</v>
      </c>
      <c r="B315" t="s">
        <v>10</v>
      </c>
      <c r="C315" s="1">
        <v>43820</v>
      </c>
      <c r="D315">
        <v>2019</v>
      </c>
      <c r="E315">
        <v>12</v>
      </c>
      <c r="F315">
        <v>0</v>
      </c>
      <c r="G315" t="s">
        <v>9</v>
      </c>
    </row>
    <row r="316" spans="1:7" x14ac:dyDescent="0.25">
      <c r="A316" t="s">
        <v>7</v>
      </c>
      <c r="B316" t="s">
        <v>10</v>
      </c>
      <c r="C316" s="1">
        <v>43826</v>
      </c>
      <c r="D316">
        <v>2019</v>
      </c>
      <c r="E316">
        <v>12</v>
      </c>
      <c r="F316">
        <v>0</v>
      </c>
      <c r="G316" t="s">
        <v>9</v>
      </c>
    </row>
    <row r="317" spans="1:7" x14ac:dyDescent="0.25">
      <c r="A317" t="s">
        <v>7</v>
      </c>
      <c r="B317" t="s">
        <v>10</v>
      </c>
      <c r="C317" s="1">
        <v>43827</v>
      </c>
      <c r="D317">
        <v>2019</v>
      </c>
      <c r="E317">
        <v>12</v>
      </c>
      <c r="F317">
        <v>0</v>
      </c>
      <c r="G317" t="s">
        <v>9</v>
      </c>
    </row>
    <row r="318" spans="1:7" x14ac:dyDescent="0.25">
      <c r="A318" t="s">
        <v>7</v>
      </c>
      <c r="B318" t="s">
        <v>11</v>
      </c>
      <c r="C318" s="1">
        <v>43466</v>
      </c>
      <c r="D318">
        <v>2019</v>
      </c>
      <c r="E318">
        <v>1</v>
      </c>
      <c r="F318">
        <v>0</v>
      </c>
      <c r="G318" t="s">
        <v>9</v>
      </c>
    </row>
    <row r="319" spans="1:7" x14ac:dyDescent="0.25">
      <c r="A319" t="s">
        <v>7</v>
      </c>
      <c r="B319" t="s">
        <v>11</v>
      </c>
      <c r="C319" s="1">
        <v>43468</v>
      </c>
      <c r="D319">
        <v>2019</v>
      </c>
      <c r="E319">
        <v>1</v>
      </c>
      <c r="F319">
        <v>0</v>
      </c>
      <c r="G319" t="s">
        <v>9</v>
      </c>
    </row>
    <row r="320" spans="1:7" x14ac:dyDescent="0.25">
      <c r="A320" t="s">
        <v>7</v>
      </c>
      <c r="B320" t="s">
        <v>11</v>
      </c>
      <c r="C320" s="1">
        <v>43470</v>
      </c>
      <c r="D320">
        <v>2019</v>
      </c>
      <c r="E320">
        <v>1</v>
      </c>
      <c r="F320">
        <v>0</v>
      </c>
      <c r="G320" t="s">
        <v>9</v>
      </c>
    </row>
    <row r="321" spans="1:7" x14ac:dyDescent="0.25">
      <c r="A321" t="s">
        <v>7</v>
      </c>
      <c r="B321" t="s">
        <v>11</v>
      </c>
      <c r="C321" s="1">
        <v>43471</v>
      </c>
      <c r="D321">
        <v>2019</v>
      </c>
      <c r="E321">
        <v>1</v>
      </c>
      <c r="F321">
        <v>0</v>
      </c>
      <c r="G321" t="s">
        <v>9</v>
      </c>
    </row>
    <row r="322" spans="1:7" x14ac:dyDescent="0.25">
      <c r="A322" t="s">
        <v>7</v>
      </c>
      <c r="B322" t="s">
        <v>11</v>
      </c>
      <c r="C322" s="1">
        <v>43477</v>
      </c>
      <c r="D322">
        <v>2019</v>
      </c>
      <c r="E322">
        <v>1</v>
      </c>
      <c r="F322">
        <v>0</v>
      </c>
      <c r="G322" t="s">
        <v>9</v>
      </c>
    </row>
    <row r="323" spans="1:7" x14ac:dyDescent="0.25">
      <c r="A323" t="s">
        <v>7</v>
      </c>
      <c r="B323" t="s">
        <v>11</v>
      </c>
      <c r="C323" s="1">
        <v>43482</v>
      </c>
      <c r="D323">
        <v>2019</v>
      </c>
      <c r="E323">
        <v>1</v>
      </c>
      <c r="F323">
        <v>0</v>
      </c>
      <c r="G323" t="s">
        <v>9</v>
      </c>
    </row>
    <row r="324" spans="1:7" x14ac:dyDescent="0.25">
      <c r="A324" t="s">
        <v>7</v>
      </c>
      <c r="B324" t="s">
        <v>11</v>
      </c>
      <c r="C324" s="1">
        <v>43488</v>
      </c>
      <c r="D324">
        <v>2019</v>
      </c>
      <c r="E324">
        <v>1</v>
      </c>
      <c r="F324">
        <v>0</v>
      </c>
      <c r="G324" t="s">
        <v>9</v>
      </c>
    </row>
    <row r="325" spans="1:7" x14ac:dyDescent="0.25">
      <c r="A325" t="s">
        <v>7</v>
      </c>
      <c r="B325" t="s">
        <v>11</v>
      </c>
      <c r="C325" s="1">
        <v>43492</v>
      </c>
      <c r="D325">
        <v>2019</v>
      </c>
      <c r="E325">
        <v>1</v>
      </c>
      <c r="F325">
        <v>0</v>
      </c>
      <c r="G325" t="s">
        <v>9</v>
      </c>
    </row>
    <row r="326" spans="1:7" x14ac:dyDescent="0.25">
      <c r="A326" t="s">
        <v>7</v>
      </c>
      <c r="B326" t="s">
        <v>11</v>
      </c>
      <c r="C326" s="1">
        <v>43496</v>
      </c>
      <c r="D326">
        <v>2019</v>
      </c>
      <c r="E326">
        <v>1</v>
      </c>
      <c r="F326">
        <v>0</v>
      </c>
      <c r="G326" t="s">
        <v>9</v>
      </c>
    </row>
    <row r="327" spans="1:7" x14ac:dyDescent="0.25">
      <c r="A327" t="s">
        <v>7</v>
      </c>
      <c r="B327" t="s">
        <v>11</v>
      </c>
      <c r="C327" s="1">
        <v>43497</v>
      </c>
      <c r="D327">
        <v>2019</v>
      </c>
      <c r="E327">
        <v>2</v>
      </c>
      <c r="F327">
        <v>0</v>
      </c>
      <c r="G327" t="s">
        <v>9</v>
      </c>
    </row>
    <row r="328" spans="1:7" x14ac:dyDescent="0.25">
      <c r="A328" t="s">
        <v>7</v>
      </c>
      <c r="B328" t="s">
        <v>11</v>
      </c>
      <c r="C328" s="1">
        <v>43506</v>
      </c>
      <c r="D328">
        <v>2019</v>
      </c>
      <c r="E328">
        <v>2</v>
      </c>
      <c r="F328">
        <v>0</v>
      </c>
      <c r="G328" t="s">
        <v>9</v>
      </c>
    </row>
    <row r="329" spans="1:7" x14ac:dyDescent="0.25">
      <c r="A329" t="s">
        <v>7</v>
      </c>
      <c r="B329" t="s">
        <v>11</v>
      </c>
      <c r="C329" s="1">
        <v>43509</v>
      </c>
      <c r="D329">
        <v>2019</v>
      </c>
      <c r="E329">
        <v>2</v>
      </c>
      <c r="F329">
        <v>0</v>
      </c>
      <c r="G329" t="s">
        <v>9</v>
      </c>
    </row>
    <row r="330" spans="1:7" x14ac:dyDescent="0.25">
      <c r="A330" t="s">
        <v>7</v>
      </c>
      <c r="B330" t="s">
        <v>11</v>
      </c>
      <c r="C330" s="1">
        <v>43511</v>
      </c>
      <c r="D330">
        <v>2019</v>
      </c>
      <c r="E330">
        <v>2</v>
      </c>
      <c r="F330">
        <v>0</v>
      </c>
      <c r="G330" t="s">
        <v>9</v>
      </c>
    </row>
    <row r="331" spans="1:7" x14ac:dyDescent="0.25">
      <c r="A331" t="s">
        <v>7</v>
      </c>
      <c r="B331" t="s">
        <v>11</v>
      </c>
      <c r="C331" s="1">
        <v>43514</v>
      </c>
      <c r="D331">
        <v>2019</v>
      </c>
      <c r="E331">
        <v>2</v>
      </c>
      <c r="F331">
        <v>0</v>
      </c>
      <c r="G331" t="s">
        <v>9</v>
      </c>
    </row>
    <row r="332" spans="1:7" x14ac:dyDescent="0.25">
      <c r="A332" t="s">
        <v>7</v>
      </c>
      <c r="B332" t="s">
        <v>11</v>
      </c>
      <c r="C332" s="1">
        <v>43515</v>
      </c>
      <c r="D332">
        <v>2019</v>
      </c>
      <c r="E332">
        <v>2</v>
      </c>
      <c r="F332">
        <v>0</v>
      </c>
      <c r="G332" t="s">
        <v>9</v>
      </c>
    </row>
    <row r="333" spans="1:7" x14ac:dyDescent="0.25">
      <c r="A333" t="s">
        <v>7</v>
      </c>
      <c r="B333" t="s">
        <v>11</v>
      </c>
      <c r="C333" s="1">
        <v>43517</v>
      </c>
      <c r="D333">
        <v>2019</v>
      </c>
      <c r="E333">
        <v>2</v>
      </c>
      <c r="F333">
        <v>0</v>
      </c>
      <c r="G333" t="s">
        <v>9</v>
      </c>
    </row>
    <row r="334" spans="1:7" x14ac:dyDescent="0.25">
      <c r="A334" t="s">
        <v>7</v>
      </c>
      <c r="B334" t="s">
        <v>11</v>
      </c>
      <c r="C334" s="1">
        <v>43520</v>
      </c>
      <c r="D334">
        <v>2019</v>
      </c>
      <c r="E334">
        <v>2</v>
      </c>
      <c r="F334">
        <v>0</v>
      </c>
      <c r="G334" t="s">
        <v>9</v>
      </c>
    </row>
    <row r="335" spans="1:7" x14ac:dyDescent="0.25">
      <c r="A335" t="s">
        <v>7</v>
      </c>
      <c r="B335" t="s">
        <v>11</v>
      </c>
      <c r="C335" s="1">
        <v>43521</v>
      </c>
      <c r="D335">
        <v>2019</v>
      </c>
      <c r="E335">
        <v>2</v>
      </c>
      <c r="F335">
        <v>0</v>
      </c>
      <c r="G335" t="s">
        <v>9</v>
      </c>
    </row>
    <row r="336" spans="1:7" x14ac:dyDescent="0.25">
      <c r="A336" t="s">
        <v>7</v>
      </c>
      <c r="B336" t="s">
        <v>11</v>
      </c>
      <c r="C336" s="1">
        <v>43522</v>
      </c>
      <c r="D336">
        <v>2019</v>
      </c>
      <c r="E336">
        <v>2</v>
      </c>
      <c r="F336">
        <v>0</v>
      </c>
      <c r="G336" t="s">
        <v>9</v>
      </c>
    </row>
    <row r="337" spans="1:7" x14ac:dyDescent="0.25">
      <c r="A337" t="s">
        <v>7</v>
      </c>
      <c r="B337" t="s">
        <v>11</v>
      </c>
      <c r="C337" s="1">
        <v>43527</v>
      </c>
      <c r="D337">
        <v>2019</v>
      </c>
      <c r="E337">
        <v>3</v>
      </c>
      <c r="F337">
        <v>0</v>
      </c>
      <c r="G337" t="s">
        <v>9</v>
      </c>
    </row>
    <row r="338" spans="1:7" x14ac:dyDescent="0.25">
      <c r="A338" t="s">
        <v>7</v>
      </c>
      <c r="B338" t="s">
        <v>11</v>
      </c>
      <c r="C338" s="1">
        <v>43536</v>
      </c>
      <c r="D338">
        <v>2019</v>
      </c>
      <c r="E338">
        <v>3</v>
      </c>
      <c r="F338">
        <v>0</v>
      </c>
      <c r="G338" t="s">
        <v>9</v>
      </c>
    </row>
    <row r="339" spans="1:7" x14ac:dyDescent="0.25">
      <c r="A339" t="s">
        <v>7</v>
      </c>
      <c r="B339" t="s">
        <v>11</v>
      </c>
      <c r="C339" s="1">
        <v>43538</v>
      </c>
      <c r="D339">
        <v>2019</v>
      </c>
      <c r="E339">
        <v>3</v>
      </c>
      <c r="F339">
        <v>0</v>
      </c>
      <c r="G339" t="s">
        <v>9</v>
      </c>
    </row>
    <row r="340" spans="1:7" x14ac:dyDescent="0.25">
      <c r="A340" t="s">
        <v>7</v>
      </c>
      <c r="B340" t="s">
        <v>11</v>
      </c>
      <c r="C340" s="1">
        <v>43540</v>
      </c>
      <c r="D340">
        <v>2019</v>
      </c>
      <c r="E340">
        <v>3</v>
      </c>
      <c r="F340">
        <v>0</v>
      </c>
      <c r="G340" t="s">
        <v>9</v>
      </c>
    </row>
    <row r="341" spans="1:7" x14ac:dyDescent="0.25">
      <c r="A341" t="s">
        <v>7</v>
      </c>
      <c r="B341" t="s">
        <v>11</v>
      </c>
      <c r="C341" s="1">
        <v>43545</v>
      </c>
      <c r="D341">
        <v>2019</v>
      </c>
      <c r="E341">
        <v>3</v>
      </c>
      <c r="F341">
        <v>0</v>
      </c>
      <c r="G341" t="s">
        <v>9</v>
      </c>
    </row>
    <row r="342" spans="1:7" x14ac:dyDescent="0.25">
      <c r="A342" t="s">
        <v>7</v>
      </c>
      <c r="B342" t="s">
        <v>11</v>
      </c>
      <c r="C342" s="1">
        <v>43550</v>
      </c>
      <c r="D342">
        <v>2019</v>
      </c>
      <c r="E342">
        <v>3</v>
      </c>
      <c r="F342">
        <v>0</v>
      </c>
      <c r="G342" t="s">
        <v>9</v>
      </c>
    </row>
    <row r="343" spans="1:7" x14ac:dyDescent="0.25">
      <c r="A343" t="s">
        <v>7</v>
      </c>
      <c r="B343" t="s">
        <v>11</v>
      </c>
      <c r="C343" s="1">
        <v>43552</v>
      </c>
      <c r="D343">
        <v>2019</v>
      </c>
      <c r="E343">
        <v>3</v>
      </c>
      <c r="F343">
        <v>0</v>
      </c>
      <c r="G343" t="s">
        <v>9</v>
      </c>
    </row>
    <row r="344" spans="1:7" x14ac:dyDescent="0.25">
      <c r="A344" t="s">
        <v>7</v>
      </c>
      <c r="B344" t="s">
        <v>11</v>
      </c>
      <c r="C344" s="1">
        <v>43566</v>
      </c>
      <c r="D344">
        <v>2019</v>
      </c>
      <c r="E344">
        <v>4</v>
      </c>
      <c r="F344">
        <v>0</v>
      </c>
      <c r="G344" t="s">
        <v>9</v>
      </c>
    </row>
    <row r="345" spans="1:7" x14ac:dyDescent="0.25">
      <c r="A345" t="s">
        <v>7</v>
      </c>
      <c r="B345" t="s">
        <v>11</v>
      </c>
      <c r="C345" s="1">
        <v>43567</v>
      </c>
      <c r="D345">
        <v>2019</v>
      </c>
      <c r="E345">
        <v>4</v>
      </c>
      <c r="F345">
        <v>0</v>
      </c>
      <c r="G345" t="s">
        <v>9</v>
      </c>
    </row>
    <row r="346" spans="1:7" x14ac:dyDescent="0.25">
      <c r="A346" t="s">
        <v>7</v>
      </c>
      <c r="B346" t="s">
        <v>11</v>
      </c>
      <c r="C346" s="1">
        <v>43570</v>
      </c>
      <c r="D346">
        <v>2019</v>
      </c>
      <c r="E346">
        <v>4</v>
      </c>
      <c r="F346">
        <v>0</v>
      </c>
      <c r="G346" t="s">
        <v>9</v>
      </c>
    </row>
    <row r="347" spans="1:7" x14ac:dyDescent="0.25">
      <c r="A347" t="s">
        <v>7</v>
      </c>
      <c r="B347" t="s">
        <v>11</v>
      </c>
      <c r="C347" s="1">
        <v>43582</v>
      </c>
      <c r="D347">
        <v>2019</v>
      </c>
      <c r="E347">
        <v>4</v>
      </c>
      <c r="F347">
        <v>0</v>
      </c>
      <c r="G347" t="s">
        <v>9</v>
      </c>
    </row>
    <row r="348" spans="1:7" x14ac:dyDescent="0.25">
      <c r="A348" t="s">
        <v>7</v>
      </c>
      <c r="B348" t="s">
        <v>11</v>
      </c>
      <c r="C348" s="1">
        <v>43585</v>
      </c>
      <c r="D348">
        <v>2019</v>
      </c>
      <c r="E348">
        <v>4</v>
      </c>
      <c r="F348">
        <v>0</v>
      </c>
      <c r="G348" t="s">
        <v>9</v>
      </c>
    </row>
    <row r="349" spans="1:7" x14ac:dyDescent="0.25">
      <c r="A349" t="s">
        <v>7</v>
      </c>
      <c r="B349" t="s">
        <v>11</v>
      </c>
      <c r="C349" s="1">
        <v>43593</v>
      </c>
      <c r="D349">
        <v>2019</v>
      </c>
      <c r="E349">
        <v>5</v>
      </c>
      <c r="F349">
        <v>0</v>
      </c>
      <c r="G349" t="s">
        <v>9</v>
      </c>
    </row>
    <row r="350" spans="1:7" x14ac:dyDescent="0.25">
      <c r="A350" t="s">
        <v>7</v>
      </c>
      <c r="B350" t="s">
        <v>11</v>
      </c>
      <c r="C350" s="1">
        <v>43595</v>
      </c>
      <c r="D350">
        <v>2019</v>
      </c>
      <c r="E350">
        <v>5</v>
      </c>
      <c r="F350">
        <v>0</v>
      </c>
      <c r="G350" t="s">
        <v>9</v>
      </c>
    </row>
    <row r="351" spans="1:7" x14ac:dyDescent="0.25">
      <c r="A351" t="s">
        <v>7</v>
      </c>
      <c r="B351" t="s">
        <v>11</v>
      </c>
      <c r="C351" s="1">
        <v>43598</v>
      </c>
      <c r="D351">
        <v>2019</v>
      </c>
      <c r="E351">
        <v>5</v>
      </c>
      <c r="F351">
        <v>0</v>
      </c>
      <c r="G351" t="s">
        <v>9</v>
      </c>
    </row>
    <row r="352" spans="1:7" x14ac:dyDescent="0.25">
      <c r="A352" t="s">
        <v>7</v>
      </c>
      <c r="B352" t="s">
        <v>11</v>
      </c>
      <c r="C352" s="1">
        <v>43599</v>
      </c>
      <c r="D352">
        <v>2019</v>
      </c>
      <c r="E352">
        <v>5</v>
      </c>
      <c r="F352">
        <v>0</v>
      </c>
      <c r="G352" t="s">
        <v>9</v>
      </c>
    </row>
    <row r="353" spans="1:7" x14ac:dyDescent="0.25">
      <c r="A353" t="s">
        <v>7</v>
      </c>
      <c r="B353" t="s">
        <v>11</v>
      </c>
      <c r="C353" s="1">
        <v>43605</v>
      </c>
      <c r="D353">
        <v>2019</v>
      </c>
      <c r="E353">
        <v>5</v>
      </c>
      <c r="F353">
        <v>0</v>
      </c>
      <c r="G353" t="s">
        <v>9</v>
      </c>
    </row>
    <row r="354" spans="1:7" x14ac:dyDescent="0.25">
      <c r="A354" t="s">
        <v>7</v>
      </c>
      <c r="B354" t="s">
        <v>11</v>
      </c>
      <c r="C354" s="1">
        <v>43607</v>
      </c>
      <c r="D354">
        <v>2019</v>
      </c>
      <c r="E354">
        <v>5</v>
      </c>
      <c r="F354">
        <v>0</v>
      </c>
      <c r="G354" t="s">
        <v>9</v>
      </c>
    </row>
    <row r="355" spans="1:7" x14ac:dyDescent="0.25">
      <c r="A355" t="s">
        <v>7</v>
      </c>
      <c r="B355" t="s">
        <v>11</v>
      </c>
      <c r="C355" s="1">
        <v>43609</v>
      </c>
      <c r="D355">
        <v>2019</v>
      </c>
      <c r="E355">
        <v>5</v>
      </c>
      <c r="F355">
        <v>0</v>
      </c>
      <c r="G355" t="s">
        <v>9</v>
      </c>
    </row>
    <row r="356" spans="1:7" x14ac:dyDescent="0.25">
      <c r="A356" t="s">
        <v>7</v>
      </c>
      <c r="B356" t="s">
        <v>11</v>
      </c>
      <c r="C356" s="1">
        <v>43610</v>
      </c>
      <c r="D356">
        <v>2019</v>
      </c>
      <c r="E356">
        <v>5</v>
      </c>
      <c r="F356">
        <v>0</v>
      </c>
      <c r="G356" t="s">
        <v>9</v>
      </c>
    </row>
    <row r="357" spans="1:7" x14ac:dyDescent="0.25">
      <c r="A357" t="s">
        <v>7</v>
      </c>
      <c r="B357" t="s">
        <v>11</v>
      </c>
      <c r="C357" s="1">
        <v>43618</v>
      </c>
      <c r="D357">
        <v>2019</v>
      </c>
      <c r="E357">
        <v>6</v>
      </c>
      <c r="F357">
        <v>0</v>
      </c>
      <c r="G357" t="s">
        <v>9</v>
      </c>
    </row>
    <row r="358" spans="1:7" x14ac:dyDescent="0.25">
      <c r="A358" t="s">
        <v>7</v>
      </c>
      <c r="B358" t="s">
        <v>11</v>
      </c>
      <c r="C358" s="1">
        <v>43621</v>
      </c>
      <c r="D358">
        <v>2019</v>
      </c>
      <c r="E358">
        <v>6</v>
      </c>
      <c r="F358">
        <v>0</v>
      </c>
      <c r="G358" t="s">
        <v>9</v>
      </c>
    </row>
    <row r="359" spans="1:7" x14ac:dyDescent="0.25">
      <c r="A359" t="s">
        <v>7</v>
      </c>
      <c r="B359" t="s">
        <v>11</v>
      </c>
      <c r="C359" s="1">
        <v>43622</v>
      </c>
      <c r="D359">
        <v>2019</v>
      </c>
      <c r="E359">
        <v>6</v>
      </c>
      <c r="F359">
        <v>0</v>
      </c>
      <c r="G359" t="s">
        <v>9</v>
      </c>
    </row>
    <row r="360" spans="1:7" x14ac:dyDescent="0.25">
      <c r="A360" t="s">
        <v>7</v>
      </c>
      <c r="B360" t="s">
        <v>11</v>
      </c>
      <c r="C360" s="1">
        <v>43628</v>
      </c>
      <c r="D360">
        <v>2019</v>
      </c>
      <c r="E360">
        <v>6</v>
      </c>
      <c r="F360">
        <v>0</v>
      </c>
      <c r="G360" t="s">
        <v>9</v>
      </c>
    </row>
    <row r="361" spans="1:7" x14ac:dyDescent="0.25">
      <c r="A361" t="s">
        <v>7</v>
      </c>
      <c r="B361" t="s">
        <v>11</v>
      </c>
      <c r="C361" s="1">
        <v>43630</v>
      </c>
      <c r="D361">
        <v>2019</v>
      </c>
      <c r="E361">
        <v>6</v>
      </c>
      <c r="F361">
        <v>0</v>
      </c>
      <c r="G361" t="s">
        <v>9</v>
      </c>
    </row>
    <row r="362" spans="1:7" x14ac:dyDescent="0.25">
      <c r="A362" t="s">
        <v>7</v>
      </c>
      <c r="B362" t="s">
        <v>11</v>
      </c>
      <c r="C362" s="1">
        <v>43632</v>
      </c>
      <c r="D362">
        <v>2019</v>
      </c>
      <c r="E362">
        <v>6</v>
      </c>
      <c r="F362">
        <v>0</v>
      </c>
      <c r="G362" t="s">
        <v>9</v>
      </c>
    </row>
    <row r="363" spans="1:7" x14ac:dyDescent="0.25">
      <c r="A363" t="s">
        <v>7</v>
      </c>
      <c r="B363" t="s">
        <v>11</v>
      </c>
      <c r="C363" s="1">
        <v>43638</v>
      </c>
      <c r="D363">
        <v>2019</v>
      </c>
      <c r="E363">
        <v>6</v>
      </c>
      <c r="F363">
        <v>0</v>
      </c>
      <c r="G363" t="s">
        <v>9</v>
      </c>
    </row>
    <row r="364" spans="1:7" x14ac:dyDescent="0.25">
      <c r="A364" t="s">
        <v>7</v>
      </c>
      <c r="B364" t="s">
        <v>11</v>
      </c>
      <c r="C364" s="1">
        <v>43645</v>
      </c>
      <c r="D364">
        <v>2019</v>
      </c>
      <c r="E364">
        <v>6</v>
      </c>
      <c r="F364">
        <v>0</v>
      </c>
      <c r="G364" t="s">
        <v>9</v>
      </c>
    </row>
    <row r="365" spans="1:7" x14ac:dyDescent="0.25">
      <c r="A365" t="s">
        <v>7</v>
      </c>
      <c r="B365" t="s">
        <v>11</v>
      </c>
      <c r="C365" s="1">
        <v>43649</v>
      </c>
      <c r="D365">
        <v>2019</v>
      </c>
      <c r="E365">
        <v>7</v>
      </c>
      <c r="F365">
        <v>0</v>
      </c>
      <c r="G365" t="s">
        <v>9</v>
      </c>
    </row>
    <row r="366" spans="1:7" x14ac:dyDescent="0.25">
      <c r="A366" t="s">
        <v>7</v>
      </c>
      <c r="B366" t="s">
        <v>11</v>
      </c>
      <c r="C366" s="1">
        <v>43650</v>
      </c>
      <c r="D366">
        <v>2019</v>
      </c>
      <c r="E366">
        <v>7</v>
      </c>
      <c r="F366">
        <v>0</v>
      </c>
      <c r="G366" t="s">
        <v>9</v>
      </c>
    </row>
    <row r="367" spans="1:7" x14ac:dyDescent="0.25">
      <c r="A367" t="s">
        <v>7</v>
      </c>
      <c r="B367" t="s">
        <v>11</v>
      </c>
      <c r="C367" s="1">
        <v>43656</v>
      </c>
      <c r="D367">
        <v>2019</v>
      </c>
      <c r="E367">
        <v>7</v>
      </c>
      <c r="F367">
        <v>0.45684649599999999</v>
      </c>
      <c r="G367" t="s">
        <v>9</v>
      </c>
    </row>
    <row r="368" spans="1:7" x14ac:dyDescent="0.25">
      <c r="A368" t="s">
        <v>7</v>
      </c>
      <c r="B368" t="s">
        <v>11</v>
      </c>
      <c r="C368" s="1">
        <v>43676</v>
      </c>
      <c r="D368">
        <v>2019</v>
      </c>
      <c r="E368">
        <v>7</v>
      </c>
      <c r="F368">
        <v>0</v>
      </c>
      <c r="G368" t="s">
        <v>9</v>
      </c>
    </row>
    <row r="369" spans="1:7" x14ac:dyDescent="0.25">
      <c r="A369" t="s">
        <v>7</v>
      </c>
      <c r="B369" t="s">
        <v>11</v>
      </c>
      <c r="C369" s="1">
        <v>43679</v>
      </c>
      <c r="D369">
        <v>2019</v>
      </c>
      <c r="E369">
        <v>8</v>
      </c>
      <c r="F369">
        <v>0</v>
      </c>
      <c r="G369" t="s">
        <v>9</v>
      </c>
    </row>
    <row r="370" spans="1:7" x14ac:dyDescent="0.25">
      <c r="A370" t="s">
        <v>7</v>
      </c>
      <c r="B370" t="s">
        <v>11</v>
      </c>
      <c r="C370" s="1">
        <v>43689</v>
      </c>
      <c r="D370">
        <v>2019</v>
      </c>
      <c r="E370">
        <v>8</v>
      </c>
      <c r="F370">
        <v>0.236112393</v>
      </c>
      <c r="G370" t="s">
        <v>9</v>
      </c>
    </row>
    <row r="371" spans="1:7" x14ac:dyDescent="0.25">
      <c r="A371" t="s">
        <v>7</v>
      </c>
      <c r="B371" t="s">
        <v>11</v>
      </c>
      <c r="C371" s="1">
        <v>43690</v>
      </c>
      <c r="D371">
        <v>2019</v>
      </c>
      <c r="E371">
        <v>8</v>
      </c>
      <c r="F371">
        <v>0.77889887999999996</v>
      </c>
      <c r="G371" t="s">
        <v>9</v>
      </c>
    </row>
    <row r="372" spans="1:7" x14ac:dyDescent="0.25">
      <c r="A372" t="s">
        <v>7</v>
      </c>
      <c r="B372" t="s">
        <v>11</v>
      </c>
      <c r="C372" s="1">
        <v>43695</v>
      </c>
      <c r="D372">
        <v>2019</v>
      </c>
      <c r="E372">
        <v>8</v>
      </c>
      <c r="F372">
        <v>1.5707695000000001E-2</v>
      </c>
      <c r="G372" t="s">
        <v>9</v>
      </c>
    </row>
    <row r="373" spans="1:7" x14ac:dyDescent="0.25">
      <c r="A373" t="s">
        <v>7</v>
      </c>
      <c r="B373" t="s">
        <v>11</v>
      </c>
      <c r="C373" s="1">
        <v>43699</v>
      </c>
      <c r="D373">
        <v>2019</v>
      </c>
      <c r="E373">
        <v>8</v>
      </c>
      <c r="F373">
        <v>32.659667519999999</v>
      </c>
      <c r="G373" t="s">
        <v>9</v>
      </c>
    </row>
    <row r="374" spans="1:7" x14ac:dyDescent="0.25">
      <c r="A374" t="s">
        <v>7</v>
      </c>
      <c r="B374" t="s">
        <v>11</v>
      </c>
      <c r="C374" s="1">
        <v>43710</v>
      </c>
      <c r="D374">
        <v>2019</v>
      </c>
      <c r="E374">
        <v>9</v>
      </c>
      <c r="F374">
        <v>0</v>
      </c>
      <c r="G374" t="s">
        <v>9</v>
      </c>
    </row>
    <row r="375" spans="1:7" x14ac:dyDescent="0.25">
      <c r="A375" t="s">
        <v>7</v>
      </c>
      <c r="B375" t="s">
        <v>11</v>
      </c>
      <c r="C375" s="1">
        <v>43714</v>
      </c>
      <c r="D375">
        <v>2019</v>
      </c>
      <c r="E375">
        <v>9</v>
      </c>
      <c r="F375">
        <v>0</v>
      </c>
      <c r="G375" t="s">
        <v>9</v>
      </c>
    </row>
    <row r="376" spans="1:7" x14ac:dyDescent="0.25">
      <c r="A376" t="s">
        <v>7</v>
      </c>
      <c r="B376" t="s">
        <v>11</v>
      </c>
      <c r="C376" s="1">
        <v>43716</v>
      </c>
      <c r="D376">
        <v>2019</v>
      </c>
      <c r="E376">
        <v>9</v>
      </c>
      <c r="F376">
        <v>0.148912454</v>
      </c>
      <c r="G376" t="s">
        <v>9</v>
      </c>
    </row>
    <row r="377" spans="1:7" x14ac:dyDescent="0.25">
      <c r="A377" t="s">
        <v>7</v>
      </c>
      <c r="B377" t="s">
        <v>11</v>
      </c>
      <c r="C377" s="1">
        <v>43718</v>
      </c>
      <c r="D377">
        <v>2019</v>
      </c>
      <c r="E377">
        <v>9</v>
      </c>
      <c r="F377">
        <v>0</v>
      </c>
      <c r="G377" t="s">
        <v>9</v>
      </c>
    </row>
    <row r="378" spans="1:7" x14ac:dyDescent="0.25">
      <c r="A378" t="s">
        <v>7</v>
      </c>
      <c r="B378" t="s">
        <v>11</v>
      </c>
      <c r="C378" s="1">
        <v>43719</v>
      </c>
      <c r="D378">
        <v>2019</v>
      </c>
      <c r="E378">
        <v>9</v>
      </c>
      <c r="F378">
        <v>0</v>
      </c>
      <c r="G378" t="s">
        <v>9</v>
      </c>
    </row>
    <row r="379" spans="1:7" x14ac:dyDescent="0.25">
      <c r="A379" t="s">
        <v>7</v>
      </c>
      <c r="B379" t="s">
        <v>11</v>
      </c>
      <c r="C379" s="1">
        <v>43736</v>
      </c>
      <c r="D379">
        <v>2019</v>
      </c>
      <c r="E379">
        <v>9</v>
      </c>
      <c r="F379">
        <v>0.444175655</v>
      </c>
      <c r="G379" t="s">
        <v>9</v>
      </c>
    </row>
    <row r="380" spans="1:7" x14ac:dyDescent="0.25">
      <c r="A380" t="s">
        <v>7</v>
      </c>
      <c r="B380" t="s">
        <v>11</v>
      </c>
      <c r="C380" s="1">
        <v>43740</v>
      </c>
      <c r="D380">
        <v>2019</v>
      </c>
      <c r="E380">
        <v>10</v>
      </c>
      <c r="F380">
        <v>0</v>
      </c>
      <c r="G380" t="s">
        <v>9</v>
      </c>
    </row>
    <row r="381" spans="1:7" x14ac:dyDescent="0.25">
      <c r="A381" t="s">
        <v>7</v>
      </c>
      <c r="B381" t="s">
        <v>11</v>
      </c>
      <c r="C381" s="1">
        <v>43744</v>
      </c>
      <c r="D381">
        <v>2019</v>
      </c>
      <c r="E381">
        <v>10</v>
      </c>
      <c r="F381">
        <v>0</v>
      </c>
      <c r="G381" t="s">
        <v>9</v>
      </c>
    </row>
    <row r="382" spans="1:7" x14ac:dyDescent="0.25">
      <c r="A382" t="s">
        <v>7</v>
      </c>
      <c r="B382" t="s">
        <v>11</v>
      </c>
      <c r="C382" s="1">
        <v>43754</v>
      </c>
      <c r="D382">
        <v>2019</v>
      </c>
      <c r="E382">
        <v>10</v>
      </c>
      <c r="F382">
        <v>13.07864322</v>
      </c>
      <c r="G382" t="s">
        <v>9</v>
      </c>
    </row>
    <row r="383" spans="1:7" x14ac:dyDescent="0.25">
      <c r="A383" t="s">
        <v>7</v>
      </c>
      <c r="B383" t="s">
        <v>11</v>
      </c>
      <c r="C383" s="1">
        <v>43760</v>
      </c>
      <c r="D383">
        <v>2019</v>
      </c>
      <c r="E383">
        <v>10</v>
      </c>
      <c r="F383">
        <v>82.366142670000002</v>
      </c>
      <c r="G383" t="s">
        <v>9</v>
      </c>
    </row>
    <row r="384" spans="1:7" x14ac:dyDescent="0.25">
      <c r="A384" t="s">
        <v>7</v>
      </c>
      <c r="B384" t="s">
        <v>11</v>
      </c>
      <c r="C384" s="1">
        <v>43771</v>
      </c>
      <c r="D384">
        <v>2019</v>
      </c>
      <c r="E384">
        <v>11</v>
      </c>
      <c r="F384">
        <v>1.388060217</v>
      </c>
      <c r="G384" t="s">
        <v>9</v>
      </c>
    </row>
    <row r="385" spans="1:7" x14ac:dyDescent="0.25">
      <c r="A385" t="s">
        <v>7</v>
      </c>
      <c r="B385" t="s">
        <v>11</v>
      </c>
      <c r="C385" s="1">
        <v>43772</v>
      </c>
      <c r="D385">
        <v>2019</v>
      </c>
      <c r="E385">
        <v>11</v>
      </c>
      <c r="F385">
        <v>0</v>
      </c>
      <c r="G385" t="s">
        <v>9</v>
      </c>
    </row>
    <row r="386" spans="1:7" x14ac:dyDescent="0.25">
      <c r="A386" t="s">
        <v>7</v>
      </c>
      <c r="B386" t="s">
        <v>11</v>
      </c>
      <c r="C386" s="1">
        <v>43777</v>
      </c>
      <c r="D386">
        <v>2019</v>
      </c>
      <c r="E386">
        <v>11</v>
      </c>
      <c r="F386">
        <v>0</v>
      </c>
      <c r="G386" t="s">
        <v>9</v>
      </c>
    </row>
    <row r="387" spans="1:7" x14ac:dyDescent="0.25">
      <c r="A387" t="s">
        <v>7</v>
      </c>
      <c r="B387" t="s">
        <v>11</v>
      </c>
      <c r="C387" s="1">
        <v>43794</v>
      </c>
      <c r="D387">
        <v>2019</v>
      </c>
      <c r="E387">
        <v>11</v>
      </c>
      <c r="F387">
        <v>3.2949050049999999</v>
      </c>
      <c r="G387" t="s">
        <v>9</v>
      </c>
    </row>
    <row r="388" spans="1:7" x14ac:dyDescent="0.25">
      <c r="A388" t="s">
        <v>7</v>
      </c>
      <c r="B388" t="s">
        <v>11</v>
      </c>
      <c r="C388" s="1">
        <v>43795</v>
      </c>
      <c r="D388">
        <v>2019</v>
      </c>
      <c r="E388">
        <v>11</v>
      </c>
      <c r="F388">
        <v>1.815261005</v>
      </c>
      <c r="G388" t="s">
        <v>9</v>
      </c>
    </row>
    <row r="389" spans="1:7" x14ac:dyDescent="0.25">
      <c r="A389" t="s">
        <v>7</v>
      </c>
      <c r="B389" t="s">
        <v>11</v>
      </c>
      <c r="C389" s="1">
        <v>43800</v>
      </c>
      <c r="D389">
        <v>2019</v>
      </c>
      <c r="E389">
        <v>12</v>
      </c>
      <c r="F389">
        <v>94.859351410000002</v>
      </c>
      <c r="G389" t="s">
        <v>9</v>
      </c>
    </row>
    <row r="390" spans="1:7" x14ac:dyDescent="0.25">
      <c r="A390" t="s">
        <v>7</v>
      </c>
      <c r="B390" t="s">
        <v>11</v>
      </c>
      <c r="C390" s="1">
        <v>43804</v>
      </c>
      <c r="D390">
        <v>2019</v>
      </c>
      <c r="E390">
        <v>12</v>
      </c>
      <c r="F390">
        <v>0</v>
      </c>
      <c r="G390" t="s">
        <v>9</v>
      </c>
    </row>
    <row r="391" spans="1:7" x14ac:dyDescent="0.25">
      <c r="A391" t="s">
        <v>7</v>
      </c>
      <c r="B391" t="s">
        <v>11</v>
      </c>
      <c r="C391" s="1">
        <v>43814</v>
      </c>
      <c r="D391">
        <v>2019</v>
      </c>
      <c r="E391">
        <v>12</v>
      </c>
      <c r="F391">
        <v>0.81098743699999998</v>
      </c>
      <c r="G391" t="s">
        <v>9</v>
      </c>
    </row>
    <row r="392" spans="1:7" x14ac:dyDescent="0.25">
      <c r="A392" t="s">
        <v>7</v>
      </c>
      <c r="B392" t="s">
        <v>11</v>
      </c>
      <c r="C392" s="1">
        <v>43816</v>
      </c>
      <c r="D392">
        <v>2019</v>
      </c>
      <c r="E392">
        <v>12</v>
      </c>
      <c r="F392">
        <v>4.3230092610000002</v>
      </c>
      <c r="G392" t="s">
        <v>9</v>
      </c>
    </row>
    <row r="393" spans="1:7" x14ac:dyDescent="0.25">
      <c r="A393" t="s">
        <v>7</v>
      </c>
      <c r="B393" t="s">
        <v>11</v>
      </c>
      <c r="C393" s="1">
        <v>43821</v>
      </c>
      <c r="D393">
        <v>2019</v>
      </c>
      <c r="E393">
        <v>12</v>
      </c>
      <c r="F393">
        <v>0</v>
      </c>
      <c r="G393" t="s">
        <v>9</v>
      </c>
    </row>
    <row r="394" spans="1:7" x14ac:dyDescent="0.25">
      <c r="A394" t="s">
        <v>7</v>
      </c>
      <c r="B394" t="s">
        <v>11</v>
      </c>
      <c r="C394" s="1">
        <v>43822</v>
      </c>
      <c r="D394">
        <v>2019</v>
      </c>
      <c r="E394">
        <v>12</v>
      </c>
      <c r="F394">
        <v>0</v>
      </c>
      <c r="G394" t="s">
        <v>9</v>
      </c>
    </row>
    <row r="395" spans="1:7" x14ac:dyDescent="0.25">
      <c r="A395" t="s">
        <v>7</v>
      </c>
      <c r="B395" t="s">
        <v>11</v>
      </c>
      <c r="C395" s="1">
        <v>43825</v>
      </c>
      <c r="D395">
        <v>2019</v>
      </c>
      <c r="E395">
        <v>12</v>
      </c>
      <c r="F395">
        <v>3.5119247630000001</v>
      </c>
      <c r="G395" t="s">
        <v>9</v>
      </c>
    </row>
    <row r="396" spans="1:7" x14ac:dyDescent="0.25">
      <c r="A396" t="s">
        <v>7</v>
      </c>
      <c r="B396" t="s">
        <v>11</v>
      </c>
      <c r="C396" s="1">
        <v>43826</v>
      </c>
      <c r="D396">
        <v>2019</v>
      </c>
      <c r="E396">
        <v>12</v>
      </c>
      <c r="F396">
        <v>0</v>
      </c>
      <c r="G396" t="s">
        <v>9</v>
      </c>
    </row>
    <row r="397" spans="1:7" x14ac:dyDescent="0.25">
      <c r="A397" t="s">
        <v>7</v>
      </c>
      <c r="B397" t="s">
        <v>12</v>
      </c>
      <c r="C397" s="1">
        <v>43469</v>
      </c>
      <c r="D397">
        <v>2019</v>
      </c>
      <c r="E397">
        <v>1</v>
      </c>
      <c r="F397">
        <v>0</v>
      </c>
      <c r="G397" t="s">
        <v>9</v>
      </c>
    </row>
    <row r="398" spans="1:7" x14ac:dyDescent="0.25">
      <c r="A398" t="s">
        <v>7</v>
      </c>
      <c r="B398" t="s">
        <v>12</v>
      </c>
      <c r="C398" s="1">
        <v>43471</v>
      </c>
      <c r="D398">
        <v>2019</v>
      </c>
      <c r="E398">
        <v>1</v>
      </c>
      <c r="F398">
        <v>0</v>
      </c>
      <c r="G398" t="s">
        <v>9</v>
      </c>
    </row>
    <row r="399" spans="1:7" x14ac:dyDescent="0.25">
      <c r="A399" t="s">
        <v>7</v>
      </c>
      <c r="B399" t="s">
        <v>12</v>
      </c>
      <c r="C399" s="1">
        <v>43477</v>
      </c>
      <c r="D399">
        <v>2019</v>
      </c>
      <c r="E399">
        <v>1</v>
      </c>
      <c r="F399">
        <v>0</v>
      </c>
      <c r="G399" t="s">
        <v>9</v>
      </c>
    </row>
    <row r="400" spans="1:7" x14ac:dyDescent="0.25">
      <c r="A400" t="s">
        <v>7</v>
      </c>
      <c r="B400" t="s">
        <v>12</v>
      </c>
      <c r="C400" s="1">
        <v>43509</v>
      </c>
      <c r="D400">
        <v>2019</v>
      </c>
      <c r="E400">
        <v>2</v>
      </c>
      <c r="F400">
        <v>0</v>
      </c>
      <c r="G400" t="s">
        <v>9</v>
      </c>
    </row>
    <row r="401" spans="1:7" x14ac:dyDescent="0.25">
      <c r="A401" t="s">
        <v>7</v>
      </c>
      <c r="B401" t="s">
        <v>12</v>
      </c>
      <c r="C401" s="1">
        <v>43511</v>
      </c>
      <c r="D401">
        <v>2019</v>
      </c>
      <c r="E401">
        <v>2</v>
      </c>
      <c r="F401">
        <v>0</v>
      </c>
      <c r="G401" t="s">
        <v>9</v>
      </c>
    </row>
    <row r="402" spans="1:7" x14ac:dyDescent="0.25">
      <c r="A402" t="s">
        <v>7</v>
      </c>
      <c r="B402" t="s">
        <v>12</v>
      </c>
      <c r="C402" s="1">
        <v>43518</v>
      </c>
      <c r="D402">
        <v>2019</v>
      </c>
      <c r="E402">
        <v>2</v>
      </c>
      <c r="F402">
        <v>0</v>
      </c>
      <c r="G402" t="s">
        <v>9</v>
      </c>
    </row>
    <row r="403" spans="1:7" x14ac:dyDescent="0.25">
      <c r="A403" t="s">
        <v>7</v>
      </c>
      <c r="B403" t="s">
        <v>12</v>
      </c>
      <c r="C403" s="1">
        <v>43525</v>
      </c>
      <c r="D403">
        <v>2019</v>
      </c>
      <c r="E403">
        <v>3</v>
      </c>
      <c r="F403">
        <v>0</v>
      </c>
      <c r="G403" t="s">
        <v>9</v>
      </c>
    </row>
    <row r="404" spans="1:7" x14ac:dyDescent="0.25">
      <c r="A404" t="s">
        <v>7</v>
      </c>
      <c r="B404" t="s">
        <v>12</v>
      </c>
      <c r="C404" s="1">
        <v>43527</v>
      </c>
      <c r="D404">
        <v>2019</v>
      </c>
      <c r="E404">
        <v>3</v>
      </c>
      <c r="F404">
        <v>0</v>
      </c>
      <c r="G404" t="s">
        <v>9</v>
      </c>
    </row>
    <row r="405" spans="1:7" x14ac:dyDescent="0.25">
      <c r="A405" t="s">
        <v>7</v>
      </c>
      <c r="B405" t="s">
        <v>12</v>
      </c>
      <c r="C405" s="1">
        <v>43528</v>
      </c>
      <c r="D405">
        <v>2019</v>
      </c>
      <c r="E405">
        <v>3</v>
      </c>
      <c r="F405">
        <v>0</v>
      </c>
      <c r="G405" t="s">
        <v>9</v>
      </c>
    </row>
    <row r="406" spans="1:7" x14ac:dyDescent="0.25">
      <c r="A406" t="s">
        <v>7</v>
      </c>
      <c r="B406" t="s">
        <v>12</v>
      </c>
      <c r="C406" s="1">
        <v>43533</v>
      </c>
      <c r="D406">
        <v>2019</v>
      </c>
      <c r="E406">
        <v>3</v>
      </c>
      <c r="F406">
        <v>0</v>
      </c>
      <c r="G406" t="s">
        <v>9</v>
      </c>
    </row>
    <row r="407" spans="1:7" x14ac:dyDescent="0.25">
      <c r="A407" t="s">
        <v>7</v>
      </c>
      <c r="B407" t="s">
        <v>12</v>
      </c>
      <c r="C407" s="1">
        <v>43538</v>
      </c>
      <c r="D407">
        <v>2019</v>
      </c>
      <c r="E407">
        <v>3</v>
      </c>
      <c r="F407">
        <v>0</v>
      </c>
      <c r="G407" t="s">
        <v>9</v>
      </c>
    </row>
    <row r="408" spans="1:7" x14ac:dyDescent="0.25">
      <c r="A408" t="s">
        <v>7</v>
      </c>
      <c r="B408" t="s">
        <v>12</v>
      </c>
      <c r="C408" s="1">
        <v>43539</v>
      </c>
      <c r="D408">
        <v>2019</v>
      </c>
      <c r="E408">
        <v>3</v>
      </c>
      <c r="F408">
        <v>0</v>
      </c>
      <c r="G408" t="s">
        <v>9</v>
      </c>
    </row>
    <row r="409" spans="1:7" x14ac:dyDescent="0.25">
      <c r="A409" t="s">
        <v>7</v>
      </c>
      <c r="B409" t="s">
        <v>12</v>
      </c>
      <c r="C409" s="1">
        <v>43540</v>
      </c>
      <c r="D409">
        <v>2019</v>
      </c>
      <c r="E409">
        <v>3</v>
      </c>
      <c r="F409">
        <v>0</v>
      </c>
      <c r="G409" t="s">
        <v>9</v>
      </c>
    </row>
    <row r="410" spans="1:7" x14ac:dyDescent="0.25">
      <c r="A410" t="s">
        <v>7</v>
      </c>
      <c r="B410" t="s">
        <v>12</v>
      </c>
      <c r="C410" s="1">
        <v>43554</v>
      </c>
      <c r="D410">
        <v>2019</v>
      </c>
      <c r="E410">
        <v>3</v>
      </c>
      <c r="F410">
        <v>0</v>
      </c>
      <c r="G410" t="s">
        <v>9</v>
      </c>
    </row>
    <row r="411" spans="1:7" x14ac:dyDescent="0.25">
      <c r="A411" t="s">
        <v>7</v>
      </c>
      <c r="B411" t="s">
        <v>12</v>
      </c>
      <c r="C411" s="1">
        <v>43570</v>
      </c>
      <c r="D411">
        <v>2019</v>
      </c>
      <c r="E411">
        <v>4</v>
      </c>
      <c r="F411">
        <v>0</v>
      </c>
      <c r="G411" t="s">
        <v>9</v>
      </c>
    </row>
    <row r="412" spans="1:7" x14ac:dyDescent="0.25">
      <c r="A412" t="s">
        <v>7</v>
      </c>
      <c r="B412" t="s">
        <v>12</v>
      </c>
      <c r="C412" s="1">
        <v>43572</v>
      </c>
      <c r="D412">
        <v>2019</v>
      </c>
      <c r="E412">
        <v>4</v>
      </c>
      <c r="F412">
        <v>0</v>
      </c>
      <c r="G412" t="s">
        <v>9</v>
      </c>
    </row>
    <row r="413" spans="1:7" x14ac:dyDescent="0.25">
      <c r="A413" t="s">
        <v>7</v>
      </c>
      <c r="B413" t="s">
        <v>12</v>
      </c>
      <c r="C413" s="1">
        <v>43569</v>
      </c>
      <c r="D413">
        <v>2019</v>
      </c>
      <c r="E413">
        <v>4</v>
      </c>
      <c r="F413">
        <v>0</v>
      </c>
      <c r="G413" t="s">
        <v>9</v>
      </c>
    </row>
    <row r="414" spans="1:7" x14ac:dyDescent="0.25">
      <c r="A414" t="s">
        <v>7</v>
      </c>
      <c r="B414" t="s">
        <v>12</v>
      </c>
      <c r="C414" s="1">
        <v>43573</v>
      </c>
      <c r="D414">
        <v>2019</v>
      </c>
      <c r="E414">
        <v>4</v>
      </c>
      <c r="F414">
        <v>3.8792617319999998</v>
      </c>
      <c r="G414" t="s">
        <v>9</v>
      </c>
    </row>
    <row r="415" spans="1:7" x14ac:dyDescent="0.25">
      <c r="A415" t="s">
        <v>7</v>
      </c>
      <c r="B415" t="s">
        <v>12</v>
      </c>
      <c r="C415" s="1">
        <v>43577</v>
      </c>
      <c r="D415">
        <v>2019</v>
      </c>
      <c r="E415">
        <v>4</v>
      </c>
      <c r="F415">
        <v>0</v>
      </c>
      <c r="G415" t="s">
        <v>9</v>
      </c>
    </row>
    <row r="416" spans="1:7" x14ac:dyDescent="0.25">
      <c r="A416" t="s">
        <v>7</v>
      </c>
      <c r="B416" t="s">
        <v>12</v>
      </c>
      <c r="C416" s="1">
        <v>43578</v>
      </c>
      <c r="D416">
        <v>2019</v>
      </c>
      <c r="E416">
        <v>4</v>
      </c>
      <c r="F416">
        <v>2.8450181479999999</v>
      </c>
      <c r="G416" t="s">
        <v>9</v>
      </c>
    </row>
    <row r="417" spans="1:7" x14ac:dyDescent="0.25">
      <c r="A417" t="s">
        <v>7</v>
      </c>
      <c r="B417" t="s">
        <v>12</v>
      </c>
      <c r="C417" s="1">
        <v>43581</v>
      </c>
      <c r="D417">
        <v>2019</v>
      </c>
      <c r="E417">
        <v>4</v>
      </c>
      <c r="F417">
        <v>0</v>
      </c>
      <c r="G417" t="s">
        <v>9</v>
      </c>
    </row>
    <row r="418" spans="1:7" x14ac:dyDescent="0.25">
      <c r="A418" t="s">
        <v>7</v>
      </c>
      <c r="B418" t="s">
        <v>12</v>
      </c>
      <c r="C418" s="1">
        <v>43590</v>
      </c>
      <c r="D418">
        <v>2019</v>
      </c>
      <c r="E418">
        <v>5</v>
      </c>
      <c r="F418">
        <v>0</v>
      </c>
      <c r="G418" t="s">
        <v>9</v>
      </c>
    </row>
    <row r="419" spans="1:7" x14ac:dyDescent="0.25">
      <c r="A419" t="s">
        <v>7</v>
      </c>
      <c r="B419" t="s">
        <v>12</v>
      </c>
      <c r="C419" s="1">
        <v>43602</v>
      </c>
      <c r="D419">
        <v>2019</v>
      </c>
      <c r="E419">
        <v>5</v>
      </c>
      <c r="F419">
        <v>0.86480659199999999</v>
      </c>
      <c r="G419" t="s">
        <v>9</v>
      </c>
    </row>
    <row r="420" spans="1:7" x14ac:dyDescent="0.25">
      <c r="A420" t="s">
        <v>7</v>
      </c>
      <c r="B420" t="s">
        <v>12</v>
      </c>
      <c r="C420" s="1">
        <v>43615</v>
      </c>
      <c r="D420">
        <v>2019</v>
      </c>
      <c r="E420">
        <v>5</v>
      </c>
      <c r="F420">
        <v>0</v>
      </c>
      <c r="G420" t="s">
        <v>9</v>
      </c>
    </row>
    <row r="421" spans="1:7" x14ac:dyDescent="0.25">
      <c r="A421" t="s">
        <v>7</v>
      </c>
      <c r="B421" t="s">
        <v>12</v>
      </c>
      <c r="C421" s="1">
        <v>43621</v>
      </c>
      <c r="D421">
        <v>2019</v>
      </c>
      <c r="E421">
        <v>6</v>
      </c>
      <c r="F421">
        <v>0</v>
      </c>
      <c r="G421" t="s">
        <v>9</v>
      </c>
    </row>
    <row r="422" spans="1:7" x14ac:dyDescent="0.25">
      <c r="A422" t="s">
        <v>7</v>
      </c>
      <c r="B422" t="s">
        <v>12</v>
      </c>
      <c r="C422" s="1">
        <v>43625</v>
      </c>
      <c r="D422">
        <v>2019</v>
      </c>
      <c r="E422">
        <v>6</v>
      </c>
      <c r="F422">
        <v>0</v>
      </c>
      <c r="G422" t="s">
        <v>9</v>
      </c>
    </row>
    <row r="423" spans="1:7" x14ac:dyDescent="0.25">
      <c r="A423" t="s">
        <v>7</v>
      </c>
      <c r="B423" t="s">
        <v>12</v>
      </c>
      <c r="C423" s="1">
        <v>43632</v>
      </c>
      <c r="D423">
        <v>2019</v>
      </c>
      <c r="E423">
        <v>6</v>
      </c>
      <c r="F423">
        <v>9.1680746079999995</v>
      </c>
      <c r="G423" t="s">
        <v>9</v>
      </c>
    </row>
    <row r="424" spans="1:7" x14ac:dyDescent="0.25">
      <c r="A424" t="s">
        <v>7</v>
      </c>
      <c r="B424" t="s">
        <v>12</v>
      </c>
      <c r="C424" s="1">
        <v>43636</v>
      </c>
      <c r="D424">
        <v>2019</v>
      </c>
      <c r="E424">
        <v>6</v>
      </c>
      <c r="F424">
        <v>34.419643399999998</v>
      </c>
      <c r="G424" t="s">
        <v>9</v>
      </c>
    </row>
    <row r="425" spans="1:7" x14ac:dyDescent="0.25">
      <c r="A425" t="s">
        <v>7</v>
      </c>
      <c r="B425" t="s">
        <v>12</v>
      </c>
      <c r="C425" s="1">
        <v>43645</v>
      </c>
      <c r="D425">
        <v>2019</v>
      </c>
      <c r="E425">
        <v>6</v>
      </c>
      <c r="F425">
        <v>2.1513097289999998</v>
      </c>
      <c r="G425" t="s">
        <v>9</v>
      </c>
    </row>
    <row r="426" spans="1:7" x14ac:dyDescent="0.25">
      <c r="A426" t="s">
        <v>7</v>
      </c>
      <c r="B426" t="s">
        <v>12</v>
      </c>
      <c r="C426" s="1">
        <v>43648</v>
      </c>
      <c r="D426">
        <v>2019</v>
      </c>
      <c r="E426">
        <v>7</v>
      </c>
      <c r="F426">
        <v>3.148211479</v>
      </c>
      <c r="G426" t="s">
        <v>9</v>
      </c>
    </row>
    <row r="427" spans="1:7" x14ac:dyDescent="0.25">
      <c r="A427" t="s">
        <v>7</v>
      </c>
      <c r="B427" t="s">
        <v>12</v>
      </c>
      <c r="C427" s="1">
        <v>43658</v>
      </c>
      <c r="D427">
        <v>2019</v>
      </c>
      <c r="E427">
        <v>7</v>
      </c>
      <c r="F427">
        <v>2.2774562839999999</v>
      </c>
      <c r="G427" t="s">
        <v>9</v>
      </c>
    </row>
    <row r="428" spans="1:7" x14ac:dyDescent="0.25">
      <c r="A428" t="s">
        <v>7</v>
      </c>
      <c r="B428" t="s">
        <v>12</v>
      </c>
      <c r="C428" s="1">
        <v>43666</v>
      </c>
      <c r="D428">
        <v>2019</v>
      </c>
      <c r="E428">
        <v>7</v>
      </c>
      <c r="F428">
        <v>168.23995969999999</v>
      </c>
      <c r="G428" t="s">
        <v>9</v>
      </c>
    </row>
    <row r="429" spans="1:7" x14ac:dyDescent="0.25">
      <c r="A429" t="s">
        <v>7</v>
      </c>
      <c r="B429" t="s">
        <v>12</v>
      </c>
      <c r="C429" s="1">
        <v>43668</v>
      </c>
      <c r="D429">
        <v>2019</v>
      </c>
      <c r="E429">
        <v>7</v>
      </c>
      <c r="F429">
        <v>123.75923160000001</v>
      </c>
      <c r="G429" t="s">
        <v>9</v>
      </c>
    </row>
    <row r="430" spans="1:7" x14ac:dyDescent="0.25">
      <c r="A430" t="s">
        <v>7</v>
      </c>
      <c r="B430" t="s">
        <v>12</v>
      </c>
      <c r="C430" s="1">
        <v>43671</v>
      </c>
      <c r="D430">
        <v>2019</v>
      </c>
      <c r="E430">
        <v>7</v>
      </c>
      <c r="F430">
        <v>21.685743330000001</v>
      </c>
      <c r="G430" t="s">
        <v>9</v>
      </c>
    </row>
    <row r="431" spans="1:7" x14ac:dyDescent="0.25">
      <c r="A431" t="s">
        <v>7</v>
      </c>
      <c r="B431" t="s">
        <v>12</v>
      </c>
      <c r="C431" s="1">
        <v>43676</v>
      </c>
      <c r="D431">
        <v>2019</v>
      </c>
      <c r="E431">
        <v>7</v>
      </c>
      <c r="F431">
        <v>17.849067689999998</v>
      </c>
      <c r="G431" t="s">
        <v>9</v>
      </c>
    </row>
    <row r="432" spans="1:7" x14ac:dyDescent="0.25">
      <c r="A432" t="s">
        <v>7</v>
      </c>
      <c r="B432" t="s">
        <v>12</v>
      </c>
      <c r="C432" s="1">
        <v>43683</v>
      </c>
      <c r="D432">
        <v>2019</v>
      </c>
      <c r="E432">
        <v>8</v>
      </c>
      <c r="F432">
        <v>52.362022400000001</v>
      </c>
      <c r="G432" t="s">
        <v>9</v>
      </c>
    </row>
    <row r="433" spans="1:7" x14ac:dyDescent="0.25">
      <c r="A433" t="s">
        <v>7</v>
      </c>
      <c r="B433" t="s">
        <v>12</v>
      </c>
      <c r="C433" s="1">
        <v>43684</v>
      </c>
      <c r="D433">
        <v>2019</v>
      </c>
      <c r="E433">
        <v>8</v>
      </c>
      <c r="F433">
        <v>96.498107910000002</v>
      </c>
      <c r="G433" t="s">
        <v>9</v>
      </c>
    </row>
    <row r="434" spans="1:7" x14ac:dyDescent="0.25">
      <c r="A434" t="s">
        <v>7</v>
      </c>
      <c r="B434" t="s">
        <v>12</v>
      </c>
      <c r="C434" s="1">
        <v>43692</v>
      </c>
      <c r="D434">
        <v>2019</v>
      </c>
      <c r="E434">
        <v>8</v>
      </c>
      <c r="F434">
        <v>81.161415099999999</v>
      </c>
      <c r="G434" t="s">
        <v>9</v>
      </c>
    </row>
    <row r="435" spans="1:7" x14ac:dyDescent="0.25">
      <c r="A435" t="s">
        <v>7</v>
      </c>
      <c r="B435" t="s">
        <v>12</v>
      </c>
      <c r="C435" s="1">
        <v>43700</v>
      </c>
      <c r="D435">
        <v>2019</v>
      </c>
      <c r="E435">
        <v>8</v>
      </c>
      <c r="F435">
        <v>28.585105899999999</v>
      </c>
      <c r="G435" t="s">
        <v>9</v>
      </c>
    </row>
    <row r="436" spans="1:7" x14ac:dyDescent="0.25">
      <c r="A436" t="s">
        <v>7</v>
      </c>
      <c r="B436" t="s">
        <v>12</v>
      </c>
      <c r="C436" s="1">
        <v>43703</v>
      </c>
      <c r="D436">
        <v>2019</v>
      </c>
      <c r="E436">
        <v>8</v>
      </c>
      <c r="F436">
        <v>104.8212738</v>
      </c>
      <c r="G436" t="s">
        <v>9</v>
      </c>
    </row>
    <row r="437" spans="1:7" x14ac:dyDescent="0.25">
      <c r="A437" t="s">
        <v>7</v>
      </c>
      <c r="B437" t="s">
        <v>12</v>
      </c>
      <c r="C437" s="1">
        <v>43710</v>
      </c>
      <c r="D437">
        <v>2019</v>
      </c>
      <c r="E437">
        <v>9</v>
      </c>
      <c r="F437">
        <v>48.396636960000002</v>
      </c>
      <c r="G437" t="s">
        <v>9</v>
      </c>
    </row>
    <row r="438" spans="1:7" x14ac:dyDescent="0.25">
      <c r="A438" t="s">
        <v>7</v>
      </c>
      <c r="B438" t="s">
        <v>12</v>
      </c>
      <c r="C438" s="1">
        <v>43729</v>
      </c>
      <c r="D438">
        <v>2019</v>
      </c>
      <c r="E438">
        <v>9</v>
      </c>
      <c r="F438">
        <v>0.29819542199999999</v>
      </c>
      <c r="G438" t="s">
        <v>9</v>
      </c>
    </row>
    <row r="439" spans="1:7" x14ac:dyDescent="0.25">
      <c r="A439" t="s">
        <v>7</v>
      </c>
      <c r="B439" t="s">
        <v>12</v>
      </c>
      <c r="C439" s="1">
        <v>43739</v>
      </c>
      <c r="D439">
        <v>2019</v>
      </c>
      <c r="E439">
        <v>10</v>
      </c>
      <c r="F439">
        <v>38.669124600000004</v>
      </c>
      <c r="G439" t="s">
        <v>9</v>
      </c>
    </row>
    <row r="440" spans="1:7" x14ac:dyDescent="0.25">
      <c r="A440" t="s">
        <v>7</v>
      </c>
      <c r="B440" t="s">
        <v>12</v>
      </c>
      <c r="C440" s="1">
        <v>43745</v>
      </c>
      <c r="D440">
        <v>2019</v>
      </c>
      <c r="E440">
        <v>10</v>
      </c>
      <c r="F440">
        <v>0</v>
      </c>
      <c r="G440" t="s">
        <v>9</v>
      </c>
    </row>
    <row r="441" spans="1:7" x14ac:dyDescent="0.25">
      <c r="A441" t="s">
        <v>7</v>
      </c>
      <c r="B441" t="s">
        <v>12</v>
      </c>
      <c r="C441" s="1">
        <v>43747</v>
      </c>
      <c r="D441">
        <v>2019</v>
      </c>
      <c r="E441">
        <v>10</v>
      </c>
      <c r="F441">
        <v>3.983119726</v>
      </c>
      <c r="G441" t="s">
        <v>9</v>
      </c>
    </row>
    <row r="442" spans="1:7" x14ac:dyDescent="0.25">
      <c r="A442" t="s">
        <v>7</v>
      </c>
      <c r="B442" t="s">
        <v>12</v>
      </c>
      <c r="C442" s="1">
        <v>43748</v>
      </c>
      <c r="D442">
        <v>2019</v>
      </c>
      <c r="E442">
        <v>10</v>
      </c>
      <c r="F442">
        <v>0</v>
      </c>
      <c r="G442" t="s">
        <v>9</v>
      </c>
    </row>
    <row r="443" spans="1:7" x14ac:dyDescent="0.25">
      <c r="A443" t="s">
        <v>7</v>
      </c>
      <c r="B443" t="s">
        <v>12</v>
      </c>
      <c r="C443" s="1">
        <v>43758</v>
      </c>
      <c r="D443">
        <v>2019</v>
      </c>
      <c r="E443">
        <v>10</v>
      </c>
      <c r="F443">
        <v>4.4716911320000001</v>
      </c>
      <c r="G443" t="s">
        <v>9</v>
      </c>
    </row>
    <row r="444" spans="1:7" x14ac:dyDescent="0.25">
      <c r="A444" t="s">
        <v>7</v>
      </c>
      <c r="B444" t="s">
        <v>12</v>
      </c>
      <c r="C444" s="1">
        <v>43768</v>
      </c>
      <c r="D444">
        <v>2019</v>
      </c>
      <c r="E444">
        <v>10</v>
      </c>
      <c r="F444">
        <v>0.25559607099999998</v>
      </c>
      <c r="G444" t="s">
        <v>9</v>
      </c>
    </row>
    <row r="445" spans="1:7" x14ac:dyDescent="0.25">
      <c r="A445" t="s">
        <v>7</v>
      </c>
      <c r="B445" t="s">
        <v>12</v>
      </c>
      <c r="C445" s="1">
        <v>43770</v>
      </c>
      <c r="D445">
        <v>2019</v>
      </c>
      <c r="E445">
        <v>11</v>
      </c>
      <c r="F445">
        <v>54.746730800000002</v>
      </c>
      <c r="G445" t="s">
        <v>9</v>
      </c>
    </row>
    <row r="446" spans="1:7" x14ac:dyDescent="0.25">
      <c r="A446" t="s">
        <v>7</v>
      </c>
      <c r="B446" t="s">
        <v>12</v>
      </c>
      <c r="C446" s="1">
        <v>43771</v>
      </c>
      <c r="D446">
        <v>2019</v>
      </c>
      <c r="E446">
        <v>11</v>
      </c>
      <c r="F446">
        <v>0</v>
      </c>
      <c r="G446" t="s">
        <v>9</v>
      </c>
    </row>
    <row r="447" spans="1:7" x14ac:dyDescent="0.25">
      <c r="A447" t="s">
        <v>7</v>
      </c>
      <c r="B447" t="s">
        <v>12</v>
      </c>
      <c r="C447" s="1">
        <v>43774</v>
      </c>
      <c r="D447">
        <v>2019</v>
      </c>
      <c r="E447">
        <v>11</v>
      </c>
      <c r="F447">
        <v>1.405807018</v>
      </c>
      <c r="G447" t="s">
        <v>9</v>
      </c>
    </row>
    <row r="448" spans="1:7" x14ac:dyDescent="0.25">
      <c r="A448" t="s">
        <v>7</v>
      </c>
      <c r="B448" t="s">
        <v>12</v>
      </c>
      <c r="C448" s="1">
        <v>43775</v>
      </c>
      <c r="D448">
        <v>2019</v>
      </c>
      <c r="E448">
        <v>11</v>
      </c>
      <c r="F448">
        <v>0</v>
      </c>
      <c r="G448" t="s">
        <v>9</v>
      </c>
    </row>
    <row r="449" spans="1:7" x14ac:dyDescent="0.25">
      <c r="A449" t="s">
        <v>7</v>
      </c>
      <c r="B449" t="s">
        <v>12</v>
      </c>
      <c r="C449" s="1">
        <v>43778</v>
      </c>
      <c r="D449">
        <v>2019</v>
      </c>
      <c r="E449">
        <v>11</v>
      </c>
      <c r="F449">
        <v>0</v>
      </c>
      <c r="G449" t="s">
        <v>9</v>
      </c>
    </row>
    <row r="450" spans="1:7" x14ac:dyDescent="0.25">
      <c r="A450" t="s">
        <v>7</v>
      </c>
      <c r="B450" t="s">
        <v>12</v>
      </c>
      <c r="C450" s="1">
        <v>43783</v>
      </c>
      <c r="D450">
        <v>2019</v>
      </c>
      <c r="E450">
        <v>11</v>
      </c>
      <c r="F450">
        <v>0</v>
      </c>
      <c r="G450" t="s">
        <v>9</v>
      </c>
    </row>
    <row r="451" spans="1:7" x14ac:dyDescent="0.25">
      <c r="A451" t="s">
        <v>7</v>
      </c>
      <c r="B451" t="s">
        <v>12</v>
      </c>
      <c r="C451" s="1">
        <v>43787</v>
      </c>
      <c r="D451">
        <v>2019</v>
      </c>
      <c r="E451">
        <v>11</v>
      </c>
      <c r="F451">
        <v>0</v>
      </c>
      <c r="G451" t="s">
        <v>9</v>
      </c>
    </row>
    <row r="452" spans="1:7" x14ac:dyDescent="0.25">
      <c r="A452" t="s">
        <v>7</v>
      </c>
      <c r="B452" t="s">
        <v>12</v>
      </c>
      <c r="C452" s="1">
        <v>43793</v>
      </c>
      <c r="D452">
        <v>2019</v>
      </c>
      <c r="E452">
        <v>11</v>
      </c>
      <c r="F452">
        <v>0</v>
      </c>
      <c r="G452" t="s">
        <v>9</v>
      </c>
    </row>
    <row r="453" spans="1:7" x14ac:dyDescent="0.25">
      <c r="A453" t="s">
        <v>7</v>
      </c>
      <c r="B453" t="s">
        <v>12</v>
      </c>
      <c r="C453" s="1">
        <v>43799</v>
      </c>
      <c r="D453">
        <v>2019</v>
      </c>
      <c r="E453">
        <v>11</v>
      </c>
      <c r="F453">
        <v>1.3122936489999999</v>
      </c>
      <c r="G453" t="s">
        <v>9</v>
      </c>
    </row>
    <row r="454" spans="1:7" x14ac:dyDescent="0.25">
      <c r="A454" t="s">
        <v>7</v>
      </c>
      <c r="B454" t="s">
        <v>12</v>
      </c>
      <c r="C454" s="1">
        <v>43800</v>
      </c>
      <c r="D454">
        <v>2019</v>
      </c>
      <c r="E454">
        <v>12</v>
      </c>
      <c r="F454">
        <v>0.435824722</v>
      </c>
      <c r="G454" t="s">
        <v>9</v>
      </c>
    </row>
    <row r="455" spans="1:7" x14ac:dyDescent="0.25">
      <c r="A455" t="s">
        <v>7</v>
      </c>
      <c r="B455" t="s">
        <v>12</v>
      </c>
      <c r="C455" s="1">
        <v>43805</v>
      </c>
      <c r="D455">
        <v>2019</v>
      </c>
      <c r="E455">
        <v>12</v>
      </c>
      <c r="F455">
        <v>0</v>
      </c>
      <c r="G455" t="s">
        <v>9</v>
      </c>
    </row>
    <row r="456" spans="1:7" x14ac:dyDescent="0.25">
      <c r="A456" t="s">
        <v>7</v>
      </c>
      <c r="B456" t="s">
        <v>12</v>
      </c>
      <c r="C456" s="1">
        <v>43812</v>
      </c>
      <c r="D456">
        <v>2019</v>
      </c>
      <c r="E456">
        <v>12</v>
      </c>
      <c r="F456">
        <v>0</v>
      </c>
      <c r="G456" t="s">
        <v>9</v>
      </c>
    </row>
    <row r="457" spans="1:7" x14ac:dyDescent="0.25">
      <c r="A457" t="s">
        <v>7</v>
      </c>
      <c r="B457" t="s">
        <v>12</v>
      </c>
      <c r="C457" s="1">
        <v>43814</v>
      </c>
      <c r="D457">
        <v>2019</v>
      </c>
      <c r="E457">
        <v>12</v>
      </c>
      <c r="F457">
        <v>3.7731947899999998</v>
      </c>
      <c r="G457" t="s">
        <v>9</v>
      </c>
    </row>
    <row r="458" spans="1:7" x14ac:dyDescent="0.25">
      <c r="A458" t="s">
        <v>7</v>
      </c>
      <c r="B458" t="s">
        <v>12</v>
      </c>
      <c r="C458" s="1">
        <v>43817</v>
      </c>
      <c r="D458">
        <v>2019</v>
      </c>
      <c r="E458">
        <v>12</v>
      </c>
      <c r="F458">
        <v>0</v>
      </c>
      <c r="G458" t="s">
        <v>9</v>
      </c>
    </row>
    <row r="459" spans="1:7" x14ac:dyDescent="0.25">
      <c r="A459" t="s">
        <v>7</v>
      </c>
      <c r="B459" t="s">
        <v>12</v>
      </c>
      <c r="C459" s="1">
        <v>43819</v>
      </c>
      <c r="D459">
        <v>2019</v>
      </c>
      <c r="E459">
        <v>12</v>
      </c>
      <c r="F459">
        <v>0</v>
      </c>
      <c r="G459" t="s">
        <v>9</v>
      </c>
    </row>
    <row r="460" spans="1:7" x14ac:dyDescent="0.25">
      <c r="A460" t="s">
        <v>7</v>
      </c>
      <c r="B460" t="s">
        <v>12</v>
      </c>
      <c r="C460" s="1">
        <v>43821</v>
      </c>
      <c r="D460">
        <v>2019</v>
      </c>
      <c r="E460">
        <v>12</v>
      </c>
      <c r="F460">
        <v>0</v>
      </c>
      <c r="G460" t="s">
        <v>9</v>
      </c>
    </row>
    <row r="461" spans="1:7" x14ac:dyDescent="0.25">
      <c r="A461" t="s">
        <v>7</v>
      </c>
      <c r="B461" t="s">
        <v>12</v>
      </c>
      <c r="C461" s="1">
        <v>43830</v>
      </c>
      <c r="D461">
        <v>2019</v>
      </c>
      <c r="E461">
        <v>12</v>
      </c>
      <c r="F461">
        <v>0</v>
      </c>
      <c r="G461" t="s">
        <v>9</v>
      </c>
    </row>
    <row r="462" spans="1:7" x14ac:dyDescent="0.25">
      <c r="A462" t="s">
        <v>7</v>
      </c>
      <c r="B462" t="s">
        <v>8</v>
      </c>
      <c r="C462" s="1">
        <v>43466</v>
      </c>
      <c r="D462">
        <v>2019</v>
      </c>
      <c r="E462">
        <v>1</v>
      </c>
      <c r="F462">
        <v>0</v>
      </c>
      <c r="G462" t="s">
        <v>9</v>
      </c>
    </row>
    <row r="463" spans="1:7" x14ac:dyDescent="0.25">
      <c r="A463" t="s">
        <v>7</v>
      </c>
      <c r="B463" t="s">
        <v>8</v>
      </c>
      <c r="C463" s="1">
        <v>43470</v>
      </c>
      <c r="D463">
        <v>2019</v>
      </c>
      <c r="E463">
        <v>1</v>
      </c>
      <c r="F463">
        <v>0</v>
      </c>
      <c r="G463" t="s">
        <v>9</v>
      </c>
    </row>
    <row r="464" spans="1:7" x14ac:dyDescent="0.25">
      <c r="A464" t="s">
        <v>7</v>
      </c>
      <c r="B464" t="s">
        <v>8</v>
      </c>
      <c r="C464" s="1">
        <v>43472</v>
      </c>
      <c r="D464">
        <v>2019</v>
      </c>
      <c r="E464">
        <v>1</v>
      </c>
      <c r="F464">
        <v>0</v>
      </c>
      <c r="G464" t="s">
        <v>9</v>
      </c>
    </row>
    <row r="465" spans="1:7" x14ac:dyDescent="0.25">
      <c r="A465" t="s">
        <v>7</v>
      </c>
      <c r="B465" t="s">
        <v>8</v>
      </c>
      <c r="C465" s="1">
        <v>43490</v>
      </c>
      <c r="D465">
        <v>2019</v>
      </c>
      <c r="E465">
        <v>1</v>
      </c>
      <c r="F465">
        <v>0</v>
      </c>
      <c r="G465" t="s">
        <v>9</v>
      </c>
    </row>
    <row r="466" spans="1:7" x14ac:dyDescent="0.25">
      <c r="A466" t="s">
        <v>7</v>
      </c>
      <c r="B466" t="s">
        <v>8</v>
      </c>
      <c r="C466" s="1">
        <v>43494</v>
      </c>
      <c r="D466">
        <v>2019</v>
      </c>
      <c r="E466">
        <v>1</v>
      </c>
      <c r="F466">
        <v>0</v>
      </c>
      <c r="G466" t="s">
        <v>9</v>
      </c>
    </row>
    <row r="467" spans="1:7" x14ac:dyDescent="0.25">
      <c r="A467" t="s">
        <v>7</v>
      </c>
      <c r="B467" t="s">
        <v>8</v>
      </c>
      <c r="C467" s="1">
        <v>43497</v>
      </c>
      <c r="D467">
        <v>2019</v>
      </c>
      <c r="E467">
        <v>2</v>
      </c>
      <c r="F467">
        <v>0</v>
      </c>
      <c r="G467" t="s">
        <v>9</v>
      </c>
    </row>
    <row r="468" spans="1:7" x14ac:dyDescent="0.25">
      <c r="A468" t="s">
        <v>7</v>
      </c>
      <c r="B468" t="s">
        <v>8</v>
      </c>
      <c r="C468" s="1">
        <v>43525</v>
      </c>
      <c r="D468">
        <v>2019</v>
      </c>
      <c r="E468">
        <v>3</v>
      </c>
      <c r="F468">
        <v>0</v>
      </c>
      <c r="G468" t="s">
        <v>9</v>
      </c>
    </row>
    <row r="469" spans="1:7" x14ac:dyDescent="0.25">
      <c r="A469" t="s">
        <v>7</v>
      </c>
      <c r="B469" t="s">
        <v>8</v>
      </c>
      <c r="C469" s="1">
        <v>43527</v>
      </c>
      <c r="D469">
        <v>2019</v>
      </c>
      <c r="E469">
        <v>3</v>
      </c>
      <c r="F469">
        <v>0</v>
      </c>
      <c r="G469" t="s">
        <v>9</v>
      </c>
    </row>
    <row r="470" spans="1:7" x14ac:dyDescent="0.25">
      <c r="A470" t="s">
        <v>7</v>
      </c>
      <c r="B470" t="s">
        <v>8</v>
      </c>
      <c r="C470" s="1">
        <v>43537</v>
      </c>
      <c r="D470">
        <v>2019</v>
      </c>
      <c r="E470">
        <v>3</v>
      </c>
      <c r="F470">
        <v>0</v>
      </c>
      <c r="G470" t="s">
        <v>9</v>
      </c>
    </row>
    <row r="471" spans="1:7" x14ac:dyDescent="0.25">
      <c r="A471" t="s">
        <v>7</v>
      </c>
      <c r="B471" t="s">
        <v>8</v>
      </c>
      <c r="C471" s="1">
        <v>43539</v>
      </c>
      <c r="D471">
        <v>2019</v>
      </c>
      <c r="E471">
        <v>3</v>
      </c>
      <c r="F471">
        <v>0</v>
      </c>
      <c r="G471" t="s">
        <v>9</v>
      </c>
    </row>
    <row r="472" spans="1:7" x14ac:dyDescent="0.25">
      <c r="A472" t="s">
        <v>7</v>
      </c>
      <c r="B472" t="s">
        <v>8</v>
      </c>
      <c r="C472" s="1">
        <v>43540</v>
      </c>
      <c r="D472">
        <v>2019</v>
      </c>
      <c r="E472">
        <v>3</v>
      </c>
      <c r="F472">
        <v>0</v>
      </c>
      <c r="G472" t="s">
        <v>9</v>
      </c>
    </row>
    <row r="473" spans="1:7" x14ac:dyDescent="0.25">
      <c r="A473" t="s">
        <v>7</v>
      </c>
      <c r="B473" t="s">
        <v>8</v>
      </c>
      <c r="C473" s="1">
        <v>43544</v>
      </c>
      <c r="D473">
        <v>2019</v>
      </c>
      <c r="E473">
        <v>3</v>
      </c>
      <c r="F473">
        <v>0</v>
      </c>
      <c r="G473" t="s">
        <v>9</v>
      </c>
    </row>
    <row r="474" spans="1:7" x14ac:dyDescent="0.25">
      <c r="A474" t="s">
        <v>7</v>
      </c>
      <c r="B474" t="s">
        <v>8</v>
      </c>
      <c r="C474" s="1">
        <v>43564</v>
      </c>
      <c r="D474">
        <v>2019</v>
      </c>
      <c r="E474">
        <v>4</v>
      </c>
      <c r="F474">
        <v>0</v>
      </c>
      <c r="G474" t="s">
        <v>9</v>
      </c>
    </row>
    <row r="475" spans="1:7" x14ac:dyDescent="0.25">
      <c r="A475" t="s">
        <v>7</v>
      </c>
      <c r="B475" t="s">
        <v>8</v>
      </c>
      <c r="C475" s="1">
        <v>43565</v>
      </c>
      <c r="D475">
        <v>2019</v>
      </c>
      <c r="E475">
        <v>4</v>
      </c>
      <c r="F475">
        <v>0</v>
      </c>
      <c r="G475" t="s">
        <v>9</v>
      </c>
    </row>
    <row r="476" spans="1:7" x14ac:dyDescent="0.25">
      <c r="A476" t="s">
        <v>7</v>
      </c>
      <c r="B476" t="s">
        <v>8</v>
      </c>
      <c r="C476" s="1">
        <v>43568</v>
      </c>
      <c r="D476">
        <v>2019</v>
      </c>
      <c r="E476">
        <v>4</v>
      </c>
      <c r="F476">
        <v>0</v>
      </c>
      <c r="G476" t="s">
        <v>9</v>
      </c>
    </row>
    <row r="477" spans="1:7" x14ac:dyDescent="0.25">
      <c r="A477" t="s">
        <v>7</v>
      </c>
      <c r="B477" t="s">
        <v>8</v>
      </c>
      <c r="C477" s="1">
        <v>43588</v>
      </c>
      <c r="D477">
        <v>2019</v>
      </c>
      <c r="E477">
        <v>5</v>
      </c>
      <c r="F477">
        <v>0</v>
      </c>
      <c r="G477" t="s">
        <v>9</v>
      </c>
    </row>
    <row r="478" spans="1:7" x14ac:dyDescent="0.25">
      <c r="A478" t="s">
        <v>7</v>
      </c>
      <c r="B478" t="s">
        <v>8</v>
      </c>
      <c r="C478" s="1">
        <v>43592</v>
      </c>
      <c r="D478">
        <v>2019</v>
      </c>
      <c r="E478">
        <v>5</v>
      </c>
      <c r="F478">
        <v>0</v>
      </c>
      <c r="G478" t="s">
        <v>9</v>
      </c>
    </row>
    <row r="479" spans="1:7" x14ac:dyDescent="0.25">
      <c r="A479" t="s">
        <v>7</v>
      </c>
      <c r="B479" t="s">
        <v>8</v>
      </c>
      <c r="C479" s="1">
        <v>43599</v>
      </c>
      <c r="D479">
        <v>2019</v>
      </c>
      <c r="E479">
        <v>5</v>
      </c>
      <c r="F479">
        <v>0</v>
      </c>
      <c r="G479" t="s">
        <v>9</v>
      </c>
    </row>
    <row r="480" spans="1:7" x14ac:dyDescent="0.25">
      <c r="A480" t="s">
        <v>7</v>
      </c>
      <c r="B480" t="s">
        <v>8</v>
      </c>
      <c r="C480" s="1">
        <v>43601</v>
      </c>
      <c r="D480">
        <v>2019</v>
      </c>
      <c r="E480">
        <v>5</v>
      </c>
      <c r="F480">
        <v>0</v>
      </c>
      <c r="G480" t="s">
        <v>9</v>
      </c>
    </row>
    <row r="481" spans="1:7" x14ac:dyDescent="0.25">
      <c r="A481" t="s">
        <v>7</v>
      </c>
      <c r="B481" t="s">
        <v>8</v>
      </c>
      <c r="C481" s="1">
        <v>43603</v>
      </c>
      <c r="D481">
        <v>2019</v>
      </c>
      <c r="E481">
        <v>5</v>
      </c>
      <c r="F481">
        <v>0</v>
      </c>
      <c r="G481" t="s">
        <v>9</v>
      </c>
    </row>
    <row r="482" spans="1:7" x14ac:dyDescent="0.25">
      <c r="A482" t="s">
        <v>7</v>
      </c>
      <c r="B482" t="s">
        <v>8</v>
      </c>
      <c r="C482" s="1">
        <v>43604</v>
      </c>
      <c r="D482">
        <v>2019</v>
      </c>
      <c r="E482">
        <v>5</v>
      </c>
      <c r="F482">
        <v>0</v>
      </c>
      <c r="G482" t="s">
        <v>9</v>
      </c>
    </row>
    <row r="483" spans="1:7" x14ac:dyDescent="0.25">
      <c r="A483" t="s">
        <v>7</v>
      </c>
      <c r="B483" t="s">
        <v>8</v>
      </c>
      <c r="C483" s="1">
        <v>43605</v>
      </c>
      <c r="D483">
        <v>2019</v>
      </c>
      <c r="E483">
        <v>5</v>
      </c>
      <c r="F483">
        <v>0</v>
      </c>
      <c r="G483" t="s">
        <v>9</v>
      </c>
    </row>
    <row r="484" spans="1:7" x14ac:dyDescent="0.25">
      <c r="A484" t="s">
        <v>7</v>
      </c>
      <c r="B484" t="s">
        <v>8</v>
      </c>
      <c r="C484" s="1">
        <v>43608</v>
      </c>
      <c r="D484">
        <v>2019</v>
      </c>
      <c r="E484">
        <v>5</v>
      </c>
      <c r="F484">
        <v>0</v>
      </c>
      <c r="G484" t="s">
        <v>9</v>
      </c>
    </row>
    <row r="485" spans="1:7" x14ac:dyDescent="0.25">
      <c r="A485" t="s">
        <v>7</v>
      </c>
      <c r="B485" t="s">
        <v>8</v>
      </c>
      <c r="C485" s="1">
        <v>43616</v>
      </c>
      <c r="D485">
        <v>2019</v>
      </c>
      <c r="E485">
        <v>5</v>
      </c>
      <c r="F485">
        <v>0</v>
      </c>
      <c r="G485" t="s">
        <v>9</v>
      </c>
    </row>
    <row r="486" spans="1:7" x14ac:dyDescent="0.25">
      <c r="A486" t="s">
        <v>7</v>
      </c>
      <c r="B486" t="s">
        <v>8</v>
      </c>
      <c r="C486" s="1">
        <v>43625</v>
      </c>
      <c r="D486">
        <v>2019</v>
      </c>
      <c r="E486">
        <v>6</v>
      </c>
      <c r="F486">
        <v>0</v>
      </c>
      <c r="G486" t="s">
        <v>9</v>
      </c>
    </row>
    <row r="487" spans="1:7" x14ac:dyDescent="0.25">
      <c r="A487" t="s">
        <v>7</v>
      </c>
      <c r="B487" t="s">
        <v>8</v>
      </c>
      <c r="C487" s="1">
        <v>43626</v>
      </c>
      <c r="D487">
        <v>2019</v>
      </c>
      <c r="E487">
        <v>6</v>
      </c>
      <c r="F487">
        <v>0</v>
      </c>
      <c r="G487" t="s">
        <v>9</v>
      </c>
    </row>
    <row r="488" spans="1:7" x14ac:dyDescent="0.25">
      <c r="A488" t="s">
        <v>7</v>
      </c>
      <c r="B488" t="s">
        <v>8</v>
      </c>
      <c r="C488" s="1">
        <v>43628</v>
      </c>
      <c r="D488">
        <v>2019</v>
      </c>
      <c r="E488">
        <v>6</v>
      </c>
      <c r="F488">
        <v>0</v>
      </c>
      <c r="G488" t="s">
        <v>9</v>
      </c>
    </row>
    <row r="489" spans="1:7" x14ac:dyDescent="0.25">
      <c r="A489" t="s">
        <v>7</v>
      </c>
      <c r="B489" t="s">
        <v>8</v>
      </c>
      <c r="C489" s="1">
        <v>43629</v>
      </c>
      <c r="D489">
        <v>2019</v>
      </c>
      <c r="E489">
        <v>6</v>
      </c>
      <c r="F489">
        <v>0</v>
      </c>
      <c r="G489" t="s">
        <v>9</v>
      </c>
    </row>
    <row r="490" spans="1:7" x14ac:dyDescent="0.25">
      <c r="A490" t="s">
        <v>7</v>
      </c>
      <c r="B490" t="s">
        <v>8</v>
      </c>
      <c r="C490" s="1">
        <v>43639</v>
      </c>
      <c r="D490">
        <v>2019</v>
      </c>
      <c r="E490">
        <v>6</v>
      </c>
      <c r="F490">
        <v>0</v>
      </c>
      <c r="G490" t="s">
        <v>9</v>
      </c>
    </row>
    <row r="491" spans="1:7" x14ac:dyDescent="0.25">
      <c r="A491" t="s">
        <v>7</v>
      </c>
      <c r="B491" t="s">
        <v>8</v>
      </c>
      <c r="C491" s="1">
        <v>43643</v>
      </c>
      <c r="D491">
        <v>2019</v>
      </c>
      <c r="E491">
        <v>6</v>
      </c>
      <c r="F491">
        <v>0.508517051</v>
      </c>
      <c r="G491" t="s">
        <v>9</v>
      </c>
    </row>
    <row r="492" spans="1:7" x14ac:dyDescent="0.25">
      <c r="A492" t="s">
        <v>7</v>
      </c>
      <c r="B492" t="s">
        <v>8</v>
      </c>
      <c r="C492" s="1">
        <v>43645</v>
      </c>
      <c r="D492">
        <v>2019</v>
      </c>
      <c r="E492">
        <v>6</v>
      </c>
      <c r="F492">
        <v>0</v>
      </c>
      <c r="G492" t="s">
        <v>9</v>
      </c>
    </row>
    <row r="493" spans="1:7" x14ac:dyDescent="0.25">
      <c r="A493" t="s">
        <v>7</v>
      </c>
      <c r="B493" t="s">
        <v>8</v>
      </c>
      <c r="C493" s="1">
        <v>43653</v>
      </c>
      <c r="D493">
        <v>2019</v>
      </c>
      <c r="E493">
        <v>7</v>
      </c>
      <c r="F493">
        <v>0</v>
      </c>
      <c r="G493" t="s">
        <v>9</v>
      </c>
    </row>
    <row r="494" spans="1:7" x14ac:dyDescent="0.25">
      <c r="A494" t="s">
        <v>7</v>
      </c>
      <c r="B494" t="s">
        <v>8</v>
      </c>
      <c r="C494" s="1">
        <v>43657</v>
      </c>
      <c r="D494">
        <v>2019</v>
      </c>
      <c r="E494">
        <v>7</v>
      </c>
      <c r="F494">
        <v>7.4471207279999998</v>
      </c>
      <c r="G494" t="s">
        <v>9</v>
      </c>
    </row>
    <row r="495" spans="1:7" x14ac:dyDescent="0.25">
      <c r="A495" t="s">
        <v>7</v>
      </c>
      <c r="B495" t="s">
        <v>8</v>
      </c>
      <c r="C495" s="1">
        <v>43659</v>
      </c>
      <c r="D495">
        <v>2019</v>
      </c>
      <c r="E495">
        <v>7</v>
      </c>
      <c r="F495">
        <v>29.483832230000001</v>
      </c>
      <c r="G495" t="s">
        <v>9</v>
      </c>
    </row>
    <row r="496" spans="1:7" x14ac:dyDescent="0.25">
      <c r="A496" t="s">
        <v>7</v>
      </c>
      <c r="B496" t="s">
        <v>8</v>
      </c>
      <c r="C496" s="1">
        <v>43665</v>
      </c>
      <c r="D496">
        <v>2019</v>
      </c>
      <c r="E496">
        <v>7</v>
      </c>
      <c r="F496">
        <v>23.818337979999999</v>
      </c>
      <c r="G496" t="s">
        <v>9</v>
      </c>
    </row>
    <row r="497" spans="1:7" x14ac:dyDescent="0.25">
      <c r="A497" t="s">
        <v>7</v>
      </c>
      <c r="B497" t="s">
        <v>8</v>
      </c>
      <c r="C497" s="1">
        <v>43674</v>
      </c>
      <c r="D497">
        <v>2019</v>
      </c>
      <c r="E497">
        <v>7</v>
      </c>
      <c r="F497">
        <v>0.47300309600000001</v>
      </c>
      <c r="G497" t="s">
        <v>9</v>
      </c>
    </row>
    <row r="498" spans="1:7" x14ac:dyDescent="0.25">
      <c r="A498" t="s">
        <v>7</v>
      </c>
      <c r="B498" t="s">
        <v>8</v>
      </c>
      <c r="C498" s="1">
        <v>43688</v>
      </c>
      <c r="D498">
        <v>2019</v>
      </c>
      <c r="E498">
        <v>8</v>
      </c>
      <c r="F498">
        <v>0</v>
      </c>
      <c r="G498" t="s">
        <v>9</v>
      </c>
    </row>
    <row r="499" spans="1:7" x14ac:dyDescent="0.25">
      <c r="A499" t="s">
        <v>7</v>
      </c>
      <c r="B499" t="s">
        <v>8</v>
      </c>
      <c r="C499" s="1">
        <v>43695</v>
      </c>
      <c r="D499">
        <v>2019</v>
      </c>
      <c r="E499">
        <v>8</v>
      </c>
      <c r="F499">
        <v>36.656873050000002</v>
      </c>
      <c r="G499" t="s">
        <v>9</v>
      </c>
    </row>
    <row r="500" spans="1:7" x14ac:dyDescent="0.25">
      <c r="A500" t="s">
        <v>7</v>
      </c>
      <c r="B500" t="s">
        <v>8</v>
      </c>
      <c r="C500" s="1">
        <v>43701</v>
      </c>
      <c r="D500">
        <v>2019</v>
      </c>
      <c r="E500">
        <v>8</v>
      </c>
      <c r="F500">
        <v>3.802981E-3</v>
      </c>
      <c r="G500" t="s">
        <v>9</v>
      </c>
    </row>
    <row r="501" spans="1:7" x14ac:dyDescent="0.25">
      <c r="A501" t="s">
        <v>7</v>
      </c>
      <c r="B501" t="s">
        <v>8</v>
      </c>
      <c r="C501" s="1">
        <v>43709</v>
      </c>
      <c r="D501">
        <v>2019</v>
      </c>
      <c r="E501">
        <v>9</v>
      </c>
      <c r="F501">
        <v>3.3903399999999999E-3</v>
      </c>
      <c r="G501" t="s">
        <v>9</v>
      </c>
    </row>
    <row r="502" spans="1:7" x14ac:dyDescent="0.25">
      <c r="A502" t="s">
        <v>7</v>
      </c>
      <c r="B502" t="s">
        <v>8</v>
      </c>
      <c r="C502" s="1">
        <v>43711</v>
      </c>
      <c r="D502">
        <v>2019</v>
      </c>
      <c r="E502">
        <v>9</v>
      </c>
      <c r="F502">
        <v>1.706452334</v>
      </c>
      <c r="G502" t="s">
        <v>9</v>
      </c>
    </row>
    <row r="503" spans="1:7" x14ac:dyDescent="0.25">
      <c r="A503" t="s">
        <v>7</v>
      </c>
      <c r="B503" t="s">
        <v>8</v>
      </c>
      <c r="C503" s="1">
        <v>43720</v>
      </c>
      <c r="D503">
        <v>2019</v>
      </c>
      <c r="E503">
        <v>9</v>
      </c>
      <c r="F503">
        <v>23.052816929999999</v>
      </c>
      <c r="G503" t="s">
        <v>9</v>
      </c>
    </row>
    <row r="504" spans="1:7" x14ac:dyDescent="0.25">
      <c r="A504" t="s">
        <v>7</v>
      </c>
      <c r="B504" t="s">
        <v>8</v>
      </c>
      <c r="C504" s="1">
        <v>43724</v>
      </c>
      <c r="D504">
        <v>2019</v>
      </c>
      <c r="E504">
        <v>9</v>
      </c>
      <c r="F504">
        <v>3.3142758880000001</v>
      </c>
      <c r="G504" t="s">
        <v>9</v>
      </c>
    </row>
    <row r="505" spans="1:7" x14ac:dyDescent="0.25">
      <c r="A505" t="s">
        <v>7</v>
      </c>
      <c r="B505" t="s">
        <v>8</v>
      </c>
      <c r="C505" s="1">
        <v>43736</v>
      </c>
      <c r="D505">
        <v>2019</v>
      </c>
      <c r="E505">
        <v>9</v>
      </c>
      <c r="F505">
        <v>0</v>
      </c>
      <c r="G505" t="s">
        <v>9</v>
      </c>
    </row>
    <row r="506" spans="1:7" x14ac:dyDescent="0.25">
      <c r="A506" t="s">
        <v>7</v>
      </c>
      <c r="B506" t="s">
        <v>8</v>
      </c>
      <c r="C506" s="1">
        <v>43740</v>
      </c>
      <c r="D506">
        <v>2019</v>
      </c>
      <c r="E506">
        <v>10</v>
      </c>
      <c r="F506">
        <v>0.305808943</v>
      </c>
      <c r="G506" t="s">
        <v>9</v>
      </c>
    </row>
    <row r="507" spans="1:7" x14ac:dyDescent="0.25">
      <c r="A507" t="s">
        <v>7</v>
      </c>
      <c r="B507" t="s">
        <v>8</v>
      </c>
      <c r="C507" s="1">
        <v>43744</v>
      </c>
      <c r="D507">
        <v>2019</v>
      </c>
      <c r="E507">
        <v>10</v>
      </c>
      <c r="F507">
        <v>0</v>
      </c>
      <c r="G507" t="s">
        <v>9</v>
      </c>
    </row>
    <row r="508" spans="1:7" x14ac:dyDescent="0.25">
      <c r="A508" t="s">
        <v>7</v>
      </c>
      <c r="B508" t="s">
        <v>8</v>
      </c>
      <c r="C508" s="1">
        <v>43750</v>
      </c>
      <c r="D508">
        <v>2019</v>
      </c>
      <c r="E508">
        <v>10</v>
      </c>
      <c r="F508">
        <v>2.6827013040000001</v>
      </c>
      <c r="G508" t="s">
        <v>9</v>
      </c>
    </row>
    <row r="509" spans="1:7" x14ac:dyDescent="0.25">
      <c r="A509" t="s">
        <v>7</v>
      </c>
      <c r="B509" t="s">
        <v>8</v>
      </c>
      <c r="C509" s="1">
        <v>43755</v>
      </c>
      <c r="D509">
        <v>2019</v>
      </c>
      <c r="E509">
        <v>10</v>
      </c>
      <c r="F509">
        <v>14.11055288</v>
      </c>
      <c r="G509" t="s">
        <v>9</v>
      </c>
    </row>
    <row r="510" spans="1:7" x14ac:dyDescent="0.25">
      <c r="A510" t="s">
        <v>7</v>
      </c>
      <c r="B510" t="s">
        <v>8</v>
      </c>
      <c r="C510" s="1">
        <v>43761</v>
      </c>
      <c r="D510">
        <v>2019</v>
      </c>
      <c r="E510">
        <v>10</v>
      </c>
      <c r="F510">
        <v>3.8972369069999999</v>
      </c>
      <c r="G510" t="s">
        <v>9</v>
      </c>
    </row>
    <row r="511" spans="1:7" x14ac:dyDescent="0.25">
      <c r="A511" t="s">
        <v>7</v>
      </c>
      <c r="B511" t="s">
        <v>8</v>
      </c>
      <c r="C511" s="1">
        <v>43768</v>
      </c>
      <c r="D511">
        <v>2019</v>
      </c>
      <c r="E511">
        <v>10</v>
      </c>
      <c r="F511">
        <v>73.362299109999995</v>
      </c>
      <c r="G511" t="s">
        <v>9</v>
      </c>
    </row>
    <row r="512" spans="1:7" x14ac:dyDescent="0.25">
      <c r="A512" t="s">
        <v>7</v>
      </c>
      <c r="B512" t="s">
        <v>8</v>
      </c>
      <c r="C512" s="1">
        <v>43776</v>
      </c>
      <c r="D512">
        <v>2019</v>
      </c>
      <c r="E512">
        <v>11</v>
      </c>
      <c r="F512">
        <v>0</v>
      </c>
      <c r="G512" t="s">
        <v>9</v>
      </c>
    </row>
    <row r="513" spans="1:7" x14ac:dyDescent="0.25">
      <c r="A513" t="s">
        <v>7</v>
      </c>
      <c r="B513" t="s">
        <v>8</v>
      </c>
      <c r="C513" s="1">
        <v>43777</v>
      </c>
      <c r="D513">
        <v>2019</v>
      </c>
      <c r="E513">
        <v>11</v>
      </c>
      <c r="F513">
        <v>0</v>
      </c>
      <c r="G513" t="s">
        <v>9</v>
      </c>
    </row>
    <row r="514" spans="1:7" x14ac:dyDescent="0.25">
      <c r="A514" t="s">
        <v>7</v>
      </c>
      <c r="B514" t="s">
        <v>8</v>
      </c>
      <c r="C514" s="1">
        <v>43781</v>
      </c>
      <c r="D514">
        <v>2019</v>
      </c>
      <c r="E514">
        <v>11</v>
      </c>
      <c r="F514">
        <v>0</v>
      </c>
      <c r="G514" t="s">
        <v>9</v>
      </c>
    </row>
    <row r="515" spans="1:7" x14ac:dyDescent="0.25">
      <c r="A515" t="s">
        <v>7</v>
      </c>
      <c r="B515" t="s">
        <v>8</v>
      </c>
      <c r="C515" s="1">
        <v>43782</v>
      </c>
      <c r="D515">
        <v>2019</v>
      </c>
      <c r="E515">
        <v>11</v>
      </c>
      <c r="F515">
        <v>0</v>
      </c>
      <c r="G515" t="s">
        <v>9</v>
      </c>
    </row>
    <row r="516" spans="1:7" x14ac:dyDescent="0.25">
      <c r="A516" t="s">
        <v>7</v>
      </c>
      <c r="B516" t="s">
        <v>8</v>
      </c>
      <c r="C516" s="1">
        <v>43783</v>
      </c>
      <c r="D516">
        <v>2019</v>
      </c>
      <c r="E516">
        <v>11</v>
      </c>
      <c r="F516">
        <v>5.1827561759999998</v>
      </c>
      <c r="G516" t="s">
        <v>9</v>
      </c>
    </row>
    <row r="517" spans="1:7" x14ac:dyDescent="0.25">
      <c r="A517" t="s">
        <v>7</v>
      </c>
      <c r="B517" t="s">
        <v>8</v>
      </c>
      <c r="C517" s="1">
        <v>43785</v>
      </c>
      <c r="D517">
        <v>2019</v>
      </c>
      <c r="E517">
        <v>11</v>
      </c>
      <c r="F517">
        <v>7.3298962809999999</v>
      </c>
      <c r="G517" t="s">
        <v>9</v>
      </c>
    </row>
    <row r="518" spans="1:7" x14ac:dyDescent="0.25">
      <c r="A518" t="s">
        <v>7</v>
      </c>
      <c r="B518" t="s">
        <v>8</v>
      </c>
      <c r="C518" s="1">
        <v>43790</v>
      </c>
      <c r="D518">
        <v>2019</v>
      </c>
      <c r="E518">
        <v>11</v>
      </c>
      <c r="F518">
        <v>6.5035311179999997</v>
      </c>
      <c r="G518" t="s">
        <v>9</v>
      </c>
    </row>
    <row r="519" spans="1:7" x14ac:dyDescent="0.25">
      <c r="A519" t="s">
        <v>7</v>
      </c>
      <c r="B519" t="s">
        <v>8</v>
      </c>
      <c r="C519" s="1">
        <v>43792</v>
      </c>
      <c r="D519">
        <v>2019</v>
      </c>
      <c r="E519">
        <v>11</v>
      </c>
      <c r="F519">
        <v>27.69630591</v>
      </c>
      <c r="G519" t="s">
        <v>9</v>
      </c>
    </row>
    <row r="520" spans="1:7" x14ac:dyDescent="0.25">
      <c r="A520" t="s">
        <v>7</v>
      </c>
      <c r="B520" t="s">
        <v>8</v>
      </c>
      <c r="C520" s="1">
        <v>43797</v>
      </c>
      <c r="D520">
        <v>2019</v>
      </c>
      <c r="E520">
        <v>11</v>
      </c>
      <c r="F520">
        <v>45.882490619999999</v>
      </c>
      <c r="G520" t="s">
        <v>9</v>
      </c>
    </row>
    <row r="521" spans="1:7" x14ac:dyDescent="0.25">
      <c r="A521" t="s">
        <v>7</v>
      </c>
      <c r="B521" t="s">
        <v>8</v>
      </c>
      <c r="C521" s="1">
        <v>43805</v>
      </c>
      <c r="D521">
        <v>2019</v>
      </c>
      <c r="E521">
        <v>12</v>
      </c>
      <c r="F521">
        <v>0</v>
      </c>
      <c r="G521" t="s">
        <v>9</v>
      </c>
    </row>
    <row r="522" spans="1:7" x14ac:dyDescent="0.25">
      <c r="A522" t="s">
        <v>7</v>
      </c>
      <c r="B522" t="s">
        <v>8</v>
      </c>
      <c r="C522" s="1">
        <v>43810</v>
      </c>
      <c r="D522">
        <v>2019</v>
      </c>
      <c r="E522">
        <v>12</v>
      </c>
      <c r="F522">
        <v>0</v>
      </c>
      <c r="G522" t="s">
        <v>9</v>
      </c>
    </row>
    <row r="523" spans="1:7" x14ac:dyDescent="0.25">
      <c r="A523" t="s">
        <v>7</v>
      </c>
      <c r="B523" t="s">
        <v>8</v>
      </c>
      <c r="C523" s="1">
        <v>43811</v>
      </c>
      <c r="D523">
        <v>2019</v>
      </c>
      <c r="E523">
        <v>12</v>
      </c>
      <c r="F523">
        <v>0</v>
      </c>
      <c r="G523" t="s">
        <v>9</v>
      </c>
    </row>
    <row r="524" spans="1:7" x14ac:dyDescent="0.25">
      <c r="A524" t="s">
        <v>7</v>
      </c>
      <c r="B524" t="s">
        <v>8</v>
      </c>
      <c r="C524" s="1">
        <v>43812</v>
      </c>
      <c r="D524">
        <v>2019</v>
      </c>
      <c r="E524">
        <v>12</v>
      </c>
      <c r="F524">
        <v>1.471725715</v>
      </c>
      <c r="G524" t="s">
        <v>9</v>
      </c>
    </row>
    <row r="525" spans="1:7" x14ac:dyDescent="0.25">
      <c r="A525" t="s">
        <v>7</v>
      </c>
      <c r="B525" t="s">
        <v>8</v>
      </c>
      <c r="C525" s="1">
        <v>43816</v>
      </c>
      <c r="D525">
        <v>2019</v>
      </c>
      <c r="E525">
        <v>12</v>
      </c>
      <c r="F525">
        <v>0.31280256200000001</v>
      </c>
      <c r="G525" t="s">
        <v>9</v>
      </c>
    </row>
    <row r="526" spans="1:7" x14ac:dyDescent="0.25">
      <c r="A526" t="s">
        <v>7</v>
      </c>
      <c r="B526" t="s">
        <v>8</v>
      </c>
      <c r="C526" s="1">
        <v>43826</v>
      </c>
      <c r="D526">
        <v>2019</v>
      </c>
      <c r="E526">
        <v>12</v>
      </c>
      <c r="F526">
        <v>0</v>
      </c>
      <c r="G526" t="s">
        <v>9</v>
      </c>
    </row>
    <row r="527" spans="1:7" x14ac:dyDescent="0.25">
      <c r="A527" t="s">
        <v>7</v>
      </c>
      <c r="B527" t="s">
        <v>8</v>
      </c>
      <c r="C527" s="1">
        <v>43830</v>
      </c>
      <c r="D527">
        <v>2019</v>
      </c>
      <c r="E527">
        <v>12</v>
      </c>
      <c r="F527">
        <v>25.29088101</v>
      </c>
      <c r="G527" t="s">
        <v>9</v>
      </c>
    </row>
    <row r="528" spans="1:7" x14ac:dyDescent="0.25">
      <c r="A528" t="s">
        <v>7</v>
      </c>
      <c r="B528" t="s">
        <v>8</v>
      </c>
      <c r="C528" s="1">
        <v>43578</v>
      </c>
      <c r="D528">
        <v>2019</v>
      </c>
      <c r="E528">
        <v>4</v>
      </c>
      <c r="F528">
        <v>0</v>
      </c>
      <c r="G528" t="s">
        <v>9</v>
      </c>
    </row>
    <row r="529" spans="1:7" x14ac:dyDescent="0.25">
      <c r="A529" t="s">
        <v>7</v>
      </c>
      <c r="B529" t="s">
        <v>8</v>
      </c>
      <c r="C529" s="1">
        <v>43772</v>
      </c>
      <c r="D529">
        <v>2019</v>
      </c>
      <c r="E529">
        <v>11</v>
      </c>
      <c r="F529">
        <v>0.84708819999999996</v>
      </c>
      <c r="G529" t="s">
        <v>9</v>
      </c>
    </row>
    <row r="530" spans="1:7" x14ac:dyDescent="0.25">
      <c r="A530" t="s">
        <v>7</v>
      </c>
      <c r="B530" t="s">
        <v>10</v>
      </c>
      <c r="C530" s="1">
        <v>43466</v>
      </c>
      <c r="D530">
        <v>2019</v>
      </c>
      <c r="E530">
        <v>1</v>
      </c>
      <c r="F530">
        <v>0</v>
      </c>
      <c r="G530" t="s">
        <v>9</v>
      </c>
    </row>
    <row r="531" spans="1:7" x14ac:dyDescent="0.25">
      <c r="A531" t="s">
        <v>7</v>
      </c>
      <c r="B531" t="s">
        <v>10</v>
      </c>
      <c r="C531" s="1">
        <v>43483</v>
      </c>
      <c r="D531">
        <v>2019</v>
      </c>
      <c r="E531">
        <v>1</v>
      </c>
      <c r="F531">
        <v>0</v>
      </c>
      <c r="G531" t="s">
        <v>9</v>
      </c>
    </row>
    <row r="532" spans="1:7" x14ac:dyDescent="0.25">
      <c r="A532" t="s">
        <v>7</v>
      </c>
      <c r="B532" t="s">
        <v>10</v>
      </c>
      <c r="C532" s="1">
        <v>43492</v>
      </c>
      <c r="D532">
        <v>2019</v>
      </c>
      <c r="E532">
        <v>1</v>
      </c>
      <c r="F532">
        <v>0</v>
      </c>
      <c r="G532" t="s">
        <v>9</v>
      </c>
    </row>
    <row r="533" spans="1:7" x14ac:dyDescent="0.25">
      <c r="A533" t="s">
        <v>7</v>
      </c>
      <c r="B533" t="s">
        <v>10</v>
      </c>
      <c r="C533" s="1">
        <v>43494</v>
      </c>
      <c r="D533">
        <v>2019</v>
      </c>
      <c r="E533">
        <v>1</v>
      </c>
      <c r="F533">
        <v>0</v>
      </c>
      <c r="G533" t="s">
        <v>9</v>
      </c>
    </row>
    <row r="534" spans="1:7" x14ac:dyDescent="0.25">
      <c r="A534" t="s">
        <v>7</v>
      </c>
      <c r="B534" t="s">
        <v>10</v>
      </c>
      <c r="C534" s="1">
        <v>43510</v>
      </c>
      <c r="D534">
        <v>2019</v>
      </c>
      <c r="E534">
        <v>2</v>
      </c>
      <c r="F534">
        <v>0</v>
      </c>
      <c r="G534" t="s">
        <v>9</v>
      </c>
    </row>
    <row r="535" spans="1:7" x14ac:dyDescent="0.25">
      <c r="A535" t="s">
        <v>7</v>
      </c>
      <c r="B535" t="s">
        <v>10</v>
      </c>
      <c r="C535" s="1">
        <v>43511</v>
      </c>
      <c r="D535">
        <v>2019</v>
      </c>
      <c r="E535">
        <v>2</v>
      </c>
      <c r="F535">
        <v>0</v>
      </c>
      <c r="G535" t="s">
        <v>9</v>
      </c>
    </row>
    <row r="536" spans="1:7" x14ac:dyDescent="0.25">
      <c r="A536" t="s">
        <v>7</v>
      </c>
      <c r="B536" t="s">
        <v>10</v>
      </c>
      <c r="C536" s="1">
        <v>43517</v>
      </c>
      <c r="D536">
        <v>2019</v>
      </c>
      <c r="E536">
        <v>2</v>
      </c>
      <c r="F536">
        <v>0</v>
      </c>
      <c r="G536" t="s">
        <v>9</v>
      </c>
    </row>
    <row r="537" spans="1:7" x14ac:dyDescent="0.25">
      <c r="A537" t="s">
        <v>7</v>
      </c>
      <c r="B537" t="s">
        <v>10</v>
      </c>
      <c r="C537" s="1">
        <v>43520</v>
      </c>
      <c r="D537">
        <v>2019</v>
      </c>
      <c r="E537">
        <v>2</v>
      </c>
      <c r="F537">
        <v>0</v>
      </c>
      <c r="G537" t="s">
        <v>9</v>
      </c>
    </row>
    <row r="538" spans="1:7" x14ac:dyDescent="0.25">
      <c r="A538" t="s">
        <v>7</v>
      </c>
      <c r="B538" t="s">
        <v>10</v>
      </c>
      <c r="C538" s="1">
        <v>43529</v>
      </c>
      <c r="D538">
        <v>2019</v>
      </c>
      <c r="E538">
        <v>3</v>
      </c>
      <c r="F538">
        <v>0</v>
      </c>
      <c r="G538" t="s">
        <v>9</v>
      </c>
    </row>
    <row r="539" spans="1:7" x14ac:dyDescent="0.25">
      <c r="A539" t="s">
        <v>7</v>
      </c>
      <c r="B539" t="s">
        <v>10</v>
      </c>
      <c r="C539" s="1">
        <v>43534</v>
      </c>
      <c r="D539">
        <v>2019</v>
      </c>
      <c r="E539">
        <v>3</v>
      </c>
      <c r="F539">
        <v>0</v>
      </c>
      <c r="G539" t="s">
        <v>9</v>
      </c>
    </row>
    <row r="540" spans="1:7" x14ac:dyDescent="0.25">
      <c r="A540" t="s">
        <v>7</v>
      </c>
      <c r="B540" t="s">
        <v>10</v>
      </c>
      <c r="C540" s="1">
        <v>43543</v>
      </c>
      <c r="D540">
        <v>2019</v>
      </c>
      <c r="E540">
        <v>3</v>
      </c>
      <c r="F540">
        <v>0</v>
      </c>
      <c r="G540" t="s">
        <v>9</v>
      </c>
    </row>
    <row r="541" spans="1:7" x14ac:dyDescent="0.25">
      <c r="A541" t="s">
        <v>7</v>
      </c>
      <c r="B541" t="s">
        <v>10</v>
      </c>
      <c r="C541" s="1">
        <v>43559</v>
      </c>
      <c r="D541">
        <v>2019</v>
      </c>
      <c r="E541">
        <v>4</v>
      </c>
      <c r="F541">
        <v>0</v>
      </c>
      <c r="G541" t="s">
        <v>9</v>
      </c>
    </row>
    <row r="542" spans="1:7" x14ac:dyDescent="0.25">
      <c r="A542" t="s">
        <v>7</v>
      </c>
      <c r="B542" t="s">
        <v>10</v>
      </c>
      <c r="C542" s="1">
        <v>43565</v>
      </c>
      <c r="D542">
        <v>2019</v>
      </c>
      <c r="E542">
        <v>4</v>
      </c>
      <c r="F542">
        <v>0</v>
      </c>
      <c r="G542" t="s">
        <v>9</v>
      </c>
    </row>
    <row r="543" spans="1:7" x14ac:dyDescent="0.25">
      <c r="A543" t="s">
        <v>7</v>
      </c>
      <c r="B543" t="s">
        <v>10</v>
      </c>
      <c r="C543" s="1">
        <v>43570</v>
      </c>
      <c r="D543">
        <v>2019</v>
      </c>
      <c r="E543">
        <v>4</v>
      </c>
      <c r="F543">
        <v>0</v>
      </c>
      <c r="G543" t="s">
        <v>9</v>
      </c>
    </row>
    <row r="544" spans="1:7" x14ac:dyDescent="0.25">
      <c r="A544" t="s">
        <v>7</v>
      </c>
      <c r="B544" t="s">
        <v>10</v>
      </c>
      <c r="C544" s="1">
        <v>43585</v>
      </c>
      <c r="D544">
        <v>2019</v>
      </c>
      <c r="E544">
        <v>4</v>
      </c>
      <c r="F544">
        <v>1.5759440659999999</v>
      </c>
      <c r="G544" t="s">
        <v>9</v>
      </c>
    </row>
    <row r="545" spans="1:7" x14ac:dyDescent="0.25">
      <c r="A545" t="s">
        <v>7</v>
      </c>
      <c r="B545" t="s">
        <v>10</v>
      </c>
      <c r="C545" s="1">
        <v>43596</v>
      </c>
      <c r="D545">
        <v>2019</v>
      </c>
      <c r="E545">
        <v>5</v>
      </c>
      <c r="F545">
        <v>0</v>
      </c>
      <c r="G545" t="s">
        <v>9</v>
      </c>
    </row>
    <row r="546" spans="1:7" x14ac:dyDescent="0.25">
      <c r="A546" t="s">
        <v>7</v>
      </c>
      <c r="B546" t="s">
        <v>10</v>
      </c>
      <c r="C546" s="1">
        <v>43597</v>
      </c>
      <c r="D546">
        <v>2019</v>
      </c>
      <c r="E546">
        <v>5</v>
      </c>
      <c r="F546">
        <v>1.692680717</v>
      </c>
      <c r="G546" t="s">
        <v>9</v>
      </c>
    </row>
    <row r="547" spans="1:7" x14ac:dyDescent="0.25">
      <c r="A547" t="s">
        <v>7</v>
      </c>
      <c r="B547" t="s">
        <v>10</v>
      </c>
      <c r="C547" s="1">
        <v>43598</v>
      </c>
      <c r="D547">
        <v>2019</v>
      </c>
      <c r="E547">
        <v>5</v>
      </c>
      <c r="F547">
        <v>3.6188344959999998</v>
      </c>
      <c r="G547" t="s">
        <v>9</v>
      </c>
    </row>
    <row r="548" spans="1:7" x14ac:dyDescent="0.25">
      <c r="A548" t="s">
        <v>7</v>
      </c>
      <c r="B548" t="s">
        <v>10</v>
      </c>
      <c r="C548" s="1">
        <v>43603</v>
      </c>
      <c r="D548">
        <v>2019</v>
      </c>
      <c r="E548">
        <v>5</v>
      </c>
      <c r="F548">
        <v>8.4050350189999996</v>
      </c>
      <c r="G548" t="s">
        <v>9</v>
      </c>
    </row>
    <row r="549" spans="1:7" x14ac:dyDescent="0.25">
      <c r="A549" t="s">
        <v>7</v>
      </c>
      <c r="B549" t="s">
        <v>10</v>
      </c>
      <c r="C549" s="1">
        <v>43604</v>
      </c>
      <c r="D549">
        <v>2019</v>
      </c>
      <c r="E549">
        <v>5</v>
      </c>
      <c r="F549">
        <v>0</v>
      </c>
      <c r="G549" t="s">
        <v>9</v>
      </c>
    </row>
    <row r="550" spans="1:7" x14ac:dyDescent="0.25">
      <c r="A550" t="s">
        <v>7</v>
      </c>
      <c r="B550" t="s">
        <v>10</v>
      </c>
      <c r="C550" s="1">
        <v>43605</v>
      </c>
      <c r="D550">
        <v>2019</v>
      </c>
      <c r="E550">
        <v>5</v>
      </c>
      <c r="F550">
        <v>4.7862005229999998</v>
      </c>
      <c r="G550" t="s">
        <v>9</v>
      </c>
    </row>
    <row r="551" spans="1:7" x14ac:dyDescent="0.25">
      <c r="A551" t="s">
        <v>7</v>
      </c>
      <c r="B551" t="s">
        <v>10</v>
      </c>
      <c r="C551" s="1">
        <v>43607</v>
      </c>
      <c r="D551">
        <v>2019</v>
      </c>
      <c r="E551">
        <v>5</v>
      </c>
      <c r="F551">
        <v>0</v>
      </c>
      <c r="G551" t="s">
        <v>9</v>
      </c>
    </row>
    <row r="552" spans="1:7" x14ac:dyDescent="0.25">
      <c r="A552" t="s">
        <v>7</v>
      </c>
      <c r="B552" t="s">
        <v>10</v>
      </c>
      <c r="C552" s="1">
        <v>43610</v>
      </c>
      <c r="D552">
        <v>2019</v>
      </c>
      <c r="E552">
        <v>5</v>
      </c>
      <c r="F552">
        <v>0</v>
      </c>
      <c r="G552" t="s">
        <v>9</v>
      </c>
    </row>
    <row r="553" spans="1:7" x14ac:dyDescent="0.25">
      <c r="A553" t="s">
        <v>7</v>
      </c>
      <c r="B553" t="s">
        <v>10</v>
      </c>
      <c r="C553" s="1">
        <v>43614</v>
      </c>
      <c r="D553">
        <v>2019</v>
      </c>
      <c r="E553">
        <v>5</v>
      </c>
      <c r="F553">
        <v>0.700419605</v>
      </c>
      <c r="G553" t="s">
        <v>9</v>
      </c>
    </row>
    <row r="554" spans="1:7" x14ac:dyDescent="0.25">
      <c r="A554" t="s">
        <v>7</v>
      </c>
      <c r="B554" t="s">
        <v>10</v>
      </c>
      <c r="C554" s="1">
        <v>43622</v>
      </c>
      <c r="D554">
        <v>2019</v>
      </c>
      <c r="E554">
        <v>6</v>
      </c>
      <c r="F554">
        <v>0</v>
      </c>
      <c r="G554" t="s">
        <v>9</v>
      </c>
    </row>
    <row r="555" spans="1:7" x14ac:dyDescent="0.25">
      <c r="A555" t="s">
        <v>7</v>
      </c>
      <c r="B555" t="s">
        <v>10</v>
      </c>
      <c r="C555" s="1">
        <v>43630</v>
      </c>
      <c r="D555">
        <v>2019</v>
      </c>
      <c r="E555">
        <v>6</v>
      </c>
      <c r="F555">
        <v>0</v>
      </c>
      <c r="G555" t="s">
        <v>9</v>
      </c>
    </row>
    <row r="556" spans="1:7" x14ac:dyDescent="0.25">
      <c r="A556" t="s">
        <v>7</v>
      </c>
      <c r="B556" t="s">
        <v>10</v>
      </c>
      <c r="C556" s="1">
        <v>43631</v>
      </c>
      <c r="D556">
        <v>2019</v>
      </c>
      <c r="E556">
        <v>6</v>
      </c>
      <c r="F556">
        <v>0</v>
      </c>
      <c r="G556" t="s">
        <v>9</v>
      </c>
    </row>
    <row r="557" spans="1:7" x14ac:dyDescent="0.25">
      <c r="A557" t="s">
        <v>7</v>
      </c>
      <c r="B557" t="s">
        <v>10</v>
      </c>
      <c r="C557" s="1">
        <v>43635</v>
      </c>
      <c r="D557">
        <v>2019</v>
      </c>
      <c r="E557">
        <v>6</v>
      </c>
      <c r="F557">
        <v>0</v>
      </c>
      <c r="G557" t="s">
        <v>9</v>
      </c>
    </row>
    <row r="558" spans="1:7" x14ac:dyDescent="0.25">
      <c r="A558" t="s">
        <v>7</v>
      </c>
      <c r="B558" t="s">
        <v>10</v>
      </c>
      <c r="C558" s="1">
        <v>43645</v>
      </c>
      <c r="D558">
        <v>2019</v>
      </c>
      <c r="E558">
        <v>6</v>
      </c>
      <c r="F558">
        <v>0</v>
      </c>
      <c r="G558" t="s">
        <v>9</v>
      </c>
    </row>
    <row r="559" spans="1:7" x14ac:dyDescent="0.25">
      <c r="A559" t="s">
        <v>7</v>
      </c>
      <c r="B559" t="s">
        <v>10</v>
      </c>
      <c r="C559" s="1">
        <v>43646</v>
      </c>
      <c r="D559">
        <v>2019</v>
      </c>
      <c r="E559">
        <v>6</v>
      </c>
      <c r="F559">
        <v>0</v>
      </c>
      <c r="G559" t="s">
        <v>9</v>
      </c>
    </row>
    <row r="560" spans="1:7" x14ac:dyDescent="0.25">
      <c r="A560" t="s">
        <v>7</v>
      </c>
      <c r="B560" t="s">
        <v>10</v>
      </c>
      <c r="C560" s="1">
        <v>43649</v>
      </c>
      <c r="D560">
        <v>2019</v>
      </c>
      <c r="E560">
        <v>7</v>
      </c>
      <c r="F560">
        <v>7.2132329940000002</v>
      </c>
      <c r="G560" t="s">
        <v>9</v>
      </c>
    </row>
    <row r="561" spans="1:7" x14ac:dyDescent="0.25">
      <c r="A561" t="s">
        <v>7</v>
      </c>
      <c r="B561" t="s">
        <v>10</v>
      </c>
      <c r="C561" s="1">
        <v>43653</v>
      </c>
      <c r="D561">
        <v>2019</v>
      </c>
      <c r="E561">
        <v>7</v>
      </c>
      <c r="F561">
        <v>1.470197916</v>
      </c>
      <c r="G561" t="s">
        <v>9</v>
      </c>
    </row>
    <row r="562" spans="1:7" x14ac:dyDescent="0.25">
      <c r="A562" t="s">
        <v>7</v>
      </c>
      <c r="B562" t="s">
        <v>10</v>
      </c>
      <c r="C562" s="1">
        <v>43657</v>
      </c>
      <c r="D562">
        <v>2019</v>
      </c>
      <c r="E562">
        <v>7</v>
      </c>
      <c r="F562">
        <v>13.96380806</v>
      </c>
      <c r="G562" t="s">
        <v>9</v>
      </c>
    </row>
    <row r="563" spans="1:7" x14ac:dyDescent="0.25">
      <c r="A563" t="s">
        <v>7</v>
      </c>
      <c r="B563" t="s">
        <v>10</v>
      </c>
      <c r="C563" s="1">
        <v>43658</v>
      </c>
      <c r="D563">
        <v>2019</v>
      </c>
      <c r="E563">
        <v>7</v>
      </c>
      <c r="F563">
        <v>14.74236679</v>
      </c>
      <c r="G563" t="s">
        <v>9</v>
      </c>
    </row>
    <row r="564" spans="1:7" x14ac:dyDescent="0.25">
      <c r="A564" t="s">
        <v>7</v>
      </c>
      <c r="B564" t="s">
        <v>10</v>
      </c>
      <c r="C564" s="1">
        <v>43661</v>
      </c>
      <c r="D564">
        <v>2019</v>
      </c>
      <c r="E564">
        <v>7</v>
      </c>
      <c r="F564">
        <v>0.933892787</v>
      </c>
      <c r="G564" t="s">
        <v>9</v>
      </c>
    </row>
    <row r="565" spans="1:7" x14ac:dyDescent="0.25">
      <c r="A565" t="s">
        <v>7</v>
      </c>
      <c r="B565" t="s">
        <v>10</v>
      </c>
      <c r="C565" s="1">
        <v>43662</v>
      </c>
      <c r="D565">
        <v>2019</v>
      </c>
      <c r="E565">
        <v>7</v>
      </c>
      <c r="F565">
        <v>2.9037592409999999</v>
      </c>
      <c r="G565" t="s">
        <v>9</v>
      </c>
    </row>
    <row r="566" spans="1:7" x14ac:dyDescent="0.25">
      <c r="A566" t="s">
        <v>7</v>
      </c>
      <c r="B566" t="s">
        <v>10</v>
      </c>
      <c r="C566" s="1">
        <v>43672</v>
      </c>
      <c r="D566">
        <v>2019</v>
      </c>
      <c r="E566">
        <v>7</v>
      </c>
      <c r="F566">
        <v>33.61050797</v>
      </c>
      <c r="G566" t="s">
        <v>9</v>
      </c>
    </row>
    <row r="567" spans="1:7" x14ac:dyDescent="0.25">
      <c r="A567" t="s">
        <v>7</v>
      </c>
      <c r="B567" t="s">
        <v>10</v>
      </c>
      <c r="C567" s="1">
        <v>43681</v>
      </c>
      <c r="D567">
        <v>2019</v>
      </c>
      <c r="E567">
        <v>8</v>
      </c>
      <c r="F567">
        <v>1.5175757409999999</v>
      </c>
      <c r="G567" t="s">
        <v>9</v>
      </c>
    </row>
    <row r="568" spans="1:7" x14ac:dyDescent="0.25">
      <c r="A568" t="s">
        <v>7</v>
      </c>
      <c r="B568" t="s">
        <v>10</v>
      </c>
      <c r="C568" s="1">
        <v>43693</v>
      </c>
      <c r="D568">
        <v>2019</v>
      </c>
      <c r="E568">
        <v>8</v>
      </c>
      <c r="F568">
        <v>13.435524940000001</v>
      </c>
      <c r="G568" t="s">
        <v>9</v>
      </c>
    </row>
    <row r="569" spans="1:7" x14ac:dyDescent="0.25">
      <c r="A569" t="s">
        <v>7</v>
      </c>
      <c r="B569" t="s">
        <v>10</v>
      </c>
      <c r="C569" s="1">
        <v>43700</v>
      </c>
      <c r="D569">
        <v>2019</v>
      </c>
      <c r="E569">
        <v>8</v>
      </c>
      <c r="F569">
        <v>0.74040770499999997</v>
      </c>
      <c r="G569" t="s">
        <v>9</v>
      </c>
    </row>
    <row r="570" spans="1:7" x14ac:dyDescent="0.25">
      <c r="A570" t="s">
        <v>7</v>
      </c>
      <c r="B570" t="s">
        <v>10</v>
      </c>
      <c r="C570" s="1">
        <v>43708</v>
      </c>
      <c r="D570">
        <v>2019</v>
      </c>
      <c r="E570">
        <v>8</v>
      </c>
      <c r="F570">
        <v>0</v>
      </c>
      <c r="G570" t="s">
        <v>9</v>
      </c>
    </row>
    <row r="571" spans="1:7" x14ac:dyDescent="0.25">
      <c r="A571" t="s">
        <v>7</v>
      </c>
      <c r="B571" t="s">
        <v>10</v>
      </c>
      <c r="C571" s="1">
        <v>43712</v>
      </c>
      <c r="D571">
        <v>2019</v>
      </c>
      <c r="E571">
        <v>9</v>
      </c>
      <c r="F571">
        <v>6.3600015640000001</v>
      </c>
      <c r="G571" t="s">
        <v>9</v>
      </c>
    </row>
    <row r="572" spans="1:7" x14ac:dyDescent="0.25">
      <c r="A572" t="s">
        <v>7</v>
      </c>
      <c r="B572" t="s">
        <v>10</v>
      </c>
      <c r="C572" s="1">
        <v>43716</v>
      </c>
      <c r="D572">
        <v>2019</v>
      </c>
      <c r="E572">
        <v>9</v>
      </c>
      <c r="F572">
        <v>11.442418099999999</v>
      </c>
      <c r="G572" t="s">
        <v>9</v>
      </c>
    </row>
    <row r="573" spans="1:7" x14ac:dyDescent="0.25">
      <c r="A573" t="s">
        <v>7</v>
      </c>
      <c r="B573" t="s">
        <v>10</v>
      </c>
      <c r="C573" s="1">
        <v>43717</v>
      </c>
      <c r="D573">
        <v>2019</v>
      </c>
      <c r="E573">
        <v>9</v>
      </c>
      <c r="F573">
        <v>4.9819493289999999</v>
      </c>
      <c r="G573" t="s">
        <v>9</v>
      </c>
    </row>
    <row r="574" spans="1:7" x14ac:dyDescent="0.25">
      <c r="A574" t="s">
        <v>7</v>
      </c>
      <c r="B574" t="s">
        <v>10</v>
      </c>
      <c r="C574" s="1">
        <v>43721</v>
      </c>
      <c r="D574">
        <v>2019</v>
      </c>
      <c r="E574">
        <v>9</v>
      </c>
      <c r="F574">
        <v>7.7908806799999999</v>
      </c>
      <c r="G574" t="s">
        <v>9</v>
      </c>
    </row>
    <row r="575" spans="1:7" x14ac:dyDescent="0.25">
      <c r="A575" t="s">
        <v>7</v>
      </c>
      <c r="B575" t="s">
        <v>10</v>
      </c>
      <c r="C575" s="1">
        <v>43726</v>
      </c>
      <c r="D575">
        <v>2019</v>
      </c>
      <c r="E575">
        <v>9</v>
      </c>
      <c r="F575">
        <v>3.2159824370000001</v>
      </c>
      <c r="G575" t="s">
        <v>9</v>
      </c>
    </row>
    <row r="576" spans="1:7" x14ac:dyDescent="0.25">
      <c r="A576" t="s">
        <v>7</v>
      </c>
      <c r="B576" t="s">
        <v>10</v>
      </c>
      <c r="C576" s="1">
        <v>43733</v>
      </c>
      <c r="D576">
        <v>2019</v>
      </c>
      <c r="E576">
        <v>9</v>
      </c>
      <c r="F576">
        <v>15.124756809999999</v>
      </c>
      <c r="G576" t="s">
        <v>9</v>
      </c>
    </row>
    <row r="577" spans="1:7" x14ac:dyDescent="0.25">
      <c r="A577" t="s">
        <v>7</v>
      </c>
      <c r="B577" t="s">
        <v>10</v>
      </c>
      <c r="C577" s="1">
        <v>43735</v>
      </c>
      <c r="D577">
        <v>2019</v>
      </c>
      <c r="E577">
        <v>9</v>
      </c>
      <c r="F577">
        <v>16.791709900000001</v>
      </c>
      <c r="G577" t="s">
        <v>9</v>
      </c>
    </row>
    <row r="578" spans="1:7" x14ac:dyDescent="0.25">
      <c r="A578" t="s">
        <v>7</v>
      </c>
      <c r="B578" t="s">
        <v>10</v>
      </c>
      <c r="C578" s="1">
        <v>43736</v>
      </c>
      <c r="D578">
        <v>2019</v>
      </c>
      <c r="E578">
        <v>9</v>
      </c>
      <c r="F578">
        <v>8.8540773389999998</v>
      </c>
      <c r="G578" t="s">
        <v>9</v>
      </c>
    </row>
    <row r="579" spans="1:7" x14ac:dyDescent="0.25">
      <c r="A579" t="s">
        <v>7</v>
      </c>
      <c r="B579" t="s">
        <v>10</v>
      </c>
      <c r="C579" s="1">
        <v>43740</v>
      </c>
      <c r="D579">
        <v>2019</v>
      </c>
      <c r="E579">
        <v>10</v>
      </c>
      <c r="F579">
        <v>0</v>
      </c>
      <c r="G579" t="s">
        <v>9</v>
      </c>
    </row>
    <row r="580" spans="1:7" x14ac:dyDescent="0.25">
      <c r="A580" t="s">
        <v>7</v>
      </c>
      <c r="B580" t="s">
        <v>10</v>
      </c>
      <c r="C580" s="1">
        <v>43746</v>
      </c>
      <c r="D580">
        <v>2019</v>
      </c>
      <c r="E580">
        <v>10</v>
      </c>
      <c r="F580">
        <v>0.69358694600000004</v>
      </c>
      <c r="G580" t="s">
        <v>9</v>
      </c>
    </row>
    <row r="581" spans="1:7" x14ac:dyDescent="0.25">
      <c r="A581" t="s">
        <v>7</v>
      </c>
      <c r="B581" t="s">
        <v>10</v>
      </c>
      <c r="C581" s="1">
        <v>43750</v>
      </c>
      <c r="D581">
        <v>2019</v>
      </c>
      <c r="E581">
        <v>10</v>
      </c>
      <c r="F581">
        <v>2.1562106609999998</v>
      </c>
      <c r="G581" t="s">
        <v>9</v>
      </c>
    </row>
    <row r="582" spans="1:7" x14ac:dyDescent="0.25">
      <c r="A582" t="s">
        <v>7</v>
      </c>
      <c r="B582" t="s">
        <v>10</v>
      </c>
      <c r="C582" s="1">
        <v>43759</v>
      </c>
      <c r="D582">
        <v>2019</v>
      </c>
      <c r="E582">
        <v>10</v>
      </c>
      <c r="F582">
        <v>0</v>
      </c>
      <c r="G582" t="s">
        <v>9</v>
      </c>
    </row>
    <row r="583" spans="1:7" x14ac:dyDescent="0.25">
      <c r="A583" t="s">
        <v>7</v>
      </c>
      <c r="B583" t="s">
        <v>10</v>
      </c>
      <c r="C583" s="1">
        <v>43760</v>
      </c>
      <c r="D583">
        <v>2019</v>
      </c>
      <c r="E583">
        <v>10</v>
      </c>
      <c r="F583">
        <v>21.718490599999999</v>
      </c>
      <c r="G583" t="s">
        <v>9</v>
      </c>
    </row>
    <row r="584" spans="1:7" x14ac:dyDescent="0.25">
      <c r="A584" t="s">
        <v>7</v>
      </c>
      <c r="B584" t="s">
        <v>10</v>
      </c>
      <c r="C584" s="1">
        <v>43761</v>
      </c>
      <c r="D584">
        <v>2019</v>
      </c>
      <c r="E584">
        <v>10</v>
      </c>
      <c r="F584">
        <v>43.509067539999997</v>
      </c>
      <c r="G584" t="s">
        <v>9</v>
      </c>
    </row>
    <row r="585" spans="1:7" x14ac:dyDescent="0.25">
      <c r="A585" t="s">
        <v>7</v>
      </c>
      <c r="B585" t="s">
        <v>10</v>
      </c>
      <c r="C585" s="1">
        <v>43765</v>
      </c>
      <c r="D585">
        <v>2019</v>
      </c>
      <c r="E585">
        <v>10</v>
      </c>
      <c r="F585">
        <v>1.3424707650000001</v>
      </c>
      <c r="G585" t="s">
        <v>9</v>
      </c>
    </row>
    <row r="586" spans="1:7" x14ac:dyDescent="0.25">
      <c r="A586" t="s">
        <v>7</v>
      </c>
      <c r="B586" t="s">
        <v>11</v>
      </c>
      <c r="C586" s="1">
        <v>43561</v>
      </c>
      <c r="D586">
        <v>2019</v>
      </c>
      <c r="E586">
        <v>4</v>
      </c>
      <c r="F586">
        <v>0</v>
      </c>
      <c r="G586" t="s">
        <v>9</v>
      </c>
    </row>
    <row r="587" spans="1:7" x14ac:dyDescent="0.25">
      <c r="A587" t="s">
        <v>7</v>
      </c>
      <c r="B587" t="s">
        <v>11</v>
      </c>
      <c r="C587" s="1">
        <v>43568</v>
      </c>
      <c r="D587">
        <v>2019</v>
      </c>
      <c r="E587">
        <v>4</v>
      </c>
      <c r="F587">
        <v>0</v>
      </c>
      <c r="G587" t="s">
        <v>9</v>
      </c>
    </row>
    <row r="588" spans="1:7" x14ac:dyDescent="0.25">
      <c r="A588" t="s">
        <v>7</v>
      </c>
      <c r="B588" t="s">
        <v>11</v>
      </c>
      <c r="C588" s="1">
        <v>43569</v>
      </c>
      <c r="D588">
        <v>2019</v>
      </c>
      <c r="E588">
        <v>4</v>
      </c>
      <c r="F588">
        <v>0</v>
      </c>
      <c r="G588" t="s">
        <v>9</v>
      </c>
    </row>
    <row r="589" spans="1:7" x14ac:dyDescent="0.25">
      <c r="A589" t="s">
        <v>7</v>
      </c>
      <c r="B589" t="s">
        <v>11</v>
      </c>
      <c r="C589" s="1">
        <v>43579</v>
      </c>
      <c r="D589">
        <v>2019</v>
      </c>
      <c r="E589">
        <v>4</v>
      </c>
      <c r="F589">
        <v>5.1389564999999998E-2</v>
      </c>
      <c r="G589" t="s">
        <v>9</v>
      </c>
    </row>
    <row r="590" spans="1:7" x14ac:dyDescent="0.25">
      <c r="A590" t="s">
        <v>7</v>
      </c>
      <c r="B590" t="s">
        <v>11</v>
      </c>
      <c r="C590" s="1">
        <v>43580</v>
      </c>
      <c r="D590">
        <v>2019</v>
      </c>
      <c r="E590">
        <v>4</v>
      </c>
      <c r="F590">
        <v>0</v>
      </c>
      <c r="G590" t="s">
        <v>9</v>
      </c>
    </row>
    <row r="591" spans="1:7" x14ac:dyDescent="0.25">
      <c r="A591" t="s">
        <v>7</v>
      </c>
      <c r="B591" t="s">
        <v>11</v>
      </c>
      <c r="C591" s="1">
        <v>43584</v>
      </c>
      <c r="D591">
        <v>2019</v>
      </c>
      <c r="E591">
        <v>4</v>
      </c>
      <c r="F591">
        <v>0</v>
      </c>
      <c r="G591" t="s">
        <v>9</v>
      </c>
    </row>
    <row r="592" spans="1:7" x14ac:dyDescent="0.25">
      <c r="A592" t="s">
        <v>7</v>
      </c>
      <c r="B592" t="s">
        <v>11</v>
      </c>
      <c r="C592" s="1">
        <v>43591</v>
      </c>
      <c r="D592">
        <v>2019</v>
      </c>
      <c r="E592">
        <v>5</v>
      </c>
      <c r="F592">
        <v>0</v>
      </c>
      <c r="G592" t="s">
        <v>9</v>
      </c>
    </row>
    <row r="593" spans="1:7" x14ac:dyDescent="0.25">
      <c r="A593" t="s">
        <v>7</v>
      </c>
      <c r="B593" t="s">
        <v>11</v>
      </c>
      <c r="C593" s="1">
        <v>43592</v>
      </c>
      <c r="D593">
        <v>2019</v>
      </c>
      <c r="E593">
        <v>5</v>
      </c>
      <c r="F593">
        <v>0</v>
      </c>
      <c r="G593" t="s">
        <v>9</v>
      </c>
    </row>
    <row r="594" spans="1:7" x14ac:dyDescent="0.25">
      <c r="A594" t="s">
        <v>7</v>
      </c>
      <c r="B594" t="s">
        <v>11</v>
      </c>
      <c r="C594" s="1">
        <v>43597</v>
      </c>
      <c r="D594">
        <v>2019</v>
      </c>
      <c r="E594">
        <v>5</v>
      </c>
      <c r="F594">
        <v>0</v>
      </c>
      <c r="G594" t="s">
        <v>9</v>
      </c>
    </row>
    <row r="595" spans="1:7" x14ac:dyDescent="0.25">
      <c r="A595" t="s">
        <v>7</v>
      </c>
      <c r="B595" t="s">
        <v>11</v>
      </c>
      <c r="C595" s="1">
        <v>43606</v>
      </c>
      <c r="D595">
        <v>2019</v>
      </c>
      <c r="E595">
        <v>5</v>
      </c>
      <c r="F595">
        <v>0</v>
      </c>
      <c r="G595" t="s">
        <v>9</v>
      </c>
    </row>
    <row r="596" spans="1:7" x14ac:dyDescent="0.25">
      <c r="A596" t="s">
        <v>7</v>
      </c>
      <c r="B596" t="s">
        <v>11</v>
      </c>
      <c r="C596" s="1">
        <v>43608</v>
      </c>
      <c r="D596">
        <v>2019</v>
      </c>
      <c r="E596">
        <v>5</v>
      </c>
      <c r="F596">
        <v>0</v>
      </c>
      <c r="G596" t="s">
        <v>9</v>
      </c>
    </row>
    <row r="597" spans="1:7" x14ac:dyDescent="0.25">
      <c r="A597" t="s">
        <v>7</v>
      </c>
      <c r="B597" t="s">
        <v>11</v>
      </c>
      <c r="C597" s="1">
        <v>43612</v>
      </c>
      <c r="D597">
        <v>2019</v>
      </c>
      <c r="E597">
        <v>5</v>
      </c>
      <c r="F597">
        <v>0</v>
      </c>
      <c r="G597" t="s">
        <v>9</v>
      </c>
    </row>
    <row r="598" spans="1:7" x14ac:dyDescent="0.25">
      <c r="A598" t="s">
        <v>7</v>
      </c>
      <c r="B598" t="s">
        <v>11</v>
      </c>
      <c r="C598" s="1">
        <v>43613</v>
      </c>
      <c r="D598">
        <v>2019</v>
      </c>
      <c r="E598">
        <v>5</v>
      </c>
      <c r="F598">
        <v>0</v>
      </c>
      <c r="G598" t="s">
        <v>9</v>
      </c>
    </row>
    <row r="599" spans="1:7" x14ac:dyDescent="0.25">
      <c r="A599" t="s">
        <v>7</v>
      </c>
      <c r="B599" t="s">
        <v>11</v>
      </c>
      <c r="C599" s="1">
        <v>43624</v>
      </c>
      <c r="D599">
        <v>2019</v>
      </c>
      <c r="E599">
        <v>6</v>
      </c>
      <c r="F599">
        <v>0</v>
      </c>
      <c r="G599" t="s">
        <v>9</v>
      </c>
    </row>
    <row r="600" spans="1:7" x14ac:dyDescent="0.25">
      <c r="A600" t="s">
        <v>7</v>
      </c>
      <c r="B600" t="s">
        <v>11</v>
      </c>
      <c r="C600" s="1">
        <v>43631</v>
      </c>
      <c r="D600">
        <v>2019</v>
      </c>
      <c r="E600">
        <v>6</v>
      </c>
      <c r="F600">
        <v>0</v>
      </c>
      <c r="G600" t="s">
        <v>9</v>
      </c>
    </row>
    <row r="601" spans="1:7" x14ac:dyDescent="0.25">
      <c r="A601" t="s">
        <v>7</v>
      </c>
      <c r="B601" t="s">
        <v>11</v>
      </c>
      <c r="C601" s="1">
        <v>43641</v>
      </c>
      <c r="D601">
        <v>2019</v>
      </c>
      <c r="E601">
        <v>6</v>
      </c>
      <c r="F601">
        <v>0</v>
      </c>
      <c r="G601" t="s">
        <v>9</v>
      </c>
    </row>
    <row r="602" spans="1:7" x14ac:dyDescent="0.25">
      <c r="A602" t="s">
        <v>7</v>
      </c>
      <c r="B602" t="s">
        <v>11</v>
      </c>
      <c r="C602" s="1">
        <v>43643</v>
      </c>
      <c r="D602">
        <v>2019</v>
      </c>
      <c r="E602">
        <v>6</v>
      </c>
      <c r="F602">
        <v>11.884324380000001</v>
      </c>
      <c r="G602" t="s">
        <v>9</v>
      </c>
    </row>
    <row r="603" spans="1:7" x14ac:dyDescent="0.25">
      <c r="A603" t="s">
        <v>7</v>
      </c>
      <c r="B603" t="s">
        <v>11</v>
      </c>
      <c r="C603" s="1">
        <v>43660</v>
      </c>
      <c r="D603">
        <v>2019</v>
      </c>
      <c r="E603">
        <v>7</v>
      </c>
      <c r="F603">
        <v>0</v>
      </c>
      <c r="G603" t="s">
        <v>9</v>
      </c>
    </row>
    <row r="604" spans="1:7" x14ac:dyDescent="0.25">
      <c r="A604" t="s">
        <v>7</v>
      </c>
      <c r="B604" t="s">
        <v>11</v>
      </c>
      <c r="C604" s="1">
        <v>43661</v>
      </c>
      <c r="D604">
        <v>2019</v>
      </c>
      <c r="E604">
        <v>7</v>
      </c>
      <c r="F604">
        <v>19.757189499999999</v>
      </c>
      <c r="G604" t="s">
        <v>9</v>
      </c>
    </row>
    <row r="605" spans="1:7" x14ac:dyDescent="0.25">
      <c r="A605" t="s">
        <v>7</v>
      </c>
      <c r="B605" t="s">
        <v>11</v>
      </c>
      <c r="C605" s="1">
        <v>43662</v>
      </c>
      <c r="D605">
        <v>2019</v>
      </c>
      <c r="E605">
        <v>7</v>
      </c>
      <c r="F605">
        <v>0</v>
      </c>
      <c r="G605" t="s">
        <v>9</v>
      </c>
    </row>
    <row r="606" spans="1:7" x14ac:dyDescent="0.25">
      <c r="A606" t="s">
        <v>7</v>
      </c>
      <c r="B606" t="s">
        <v>11</v>
      </c>
      <c r="C606" s="1">
        <v>43667</v>
      </c>
      <c r="D606">
        <v>2019</v>
      </c>
      <c r="E606">
        <v>7</v>
      </c>
      <c r="F606">
        <v>0</v>
      </c>
      <c r="G606" t="s">
        <v>9</v>
      </c>
    </row>
    <row r="607" spans="1:7" x14ac:dyDescent="0.25">
      <c r="A607" t="s">
        <v>7</v>
      </c>
      <c r="B607" t="s">
        <v>11</v>
      </c>
      <c r="C607" s="1">
        <v>43672</v>
      </c>
      <c r="D607">
        <v>2019</v>
      </c>
      <c r="E607">
        <v>7</v>
      </c>
      <c r="F607">
        <v>0.60875058199999998</v>
      </c>
      <c r="G607" t="s">
        <v>9</v>
      </c>
    </row>
    <row r="608" spans="1:7" x14ac:dyDescent="0.25">
      <c r="A608" t="s">
        <v>7</v>
      </c>
      <c r="B608" t="s">
        <v>11</v>
      </c>
      <c r="C608" s="1">
        <v>43673</v>
      </c>
      <c r="D608">
        <v>2019</v>
      </c>
      <c r="E608">
        <v>7</v>
      </c>
      <c r="F608">
        <v>0</v>
      </c>
      <c r="G608" t="s">
        <v>9</v>
      </c>
    </row>
    <row r="609" spans="1:7" x14ac:dyDescent="0.25">
      <c r="A609" t="s">
        <v>7</v>
      </c>
      <c r="B609" t="s">
        <v>11</v>
      </c>
      <c r="C609" s="1">
        <v>43682</v>
      </c>
      <c r="D609">
        <v>2019</v>
      </c>
      <c r="E609">
        <v>8</v>
      </c>
      <c r="F609">
        <v>0</v>
      </c>
      <c r="G609" t="s">
        <v>9</v>
      </c>
    </row>
    <row r="610" spans="1:7" x14ac:dyDescent="0.25">
      <c r="A610" t="s">
        <v>7</v>
      </c>
      <c r="B610" t="s">
        <v>11</v>
      </c>
      <c r="C610" s="1">
        <v>43684</v>
      </c>
      <c r="D610">
        <v>2019</v>
      </c>
      <c r="E610">
        <v>8</v>
      </c>
      <c r="F610">
        <v>2.2796313289999999</v>
      </c>
      <c r="G610" t="s">
        <v>9</v>
      </c>
    </row>
    <row r="611" spans="1:7" x14ac:dyDescent="0.25">
      <c r="A611" t="s">
        <v>7</v>
      </c>
      <c r="B611" t="s">
        <v>11</v>
      </c>
      <c r="C611" s="1">
        <v>43697</v>
      </c>
      <c r="D611">
        <v>2019</v>
      </c>
      <c r="E611">
        <v>8</v>
      </c>
      <c r="F611">
        <v>1.4132511910000001</v>
      </c>
      <c r="G611" t="s">
        <v>9</v>
      </c>
    </row>
    <row r="612" spans="1:7" x14ac:dyDescent="0.25">
      <c r="A612" t="s">
        <v>7</v>
      </c>
      <c r="B612" t="s">
        <v>11</v>
      </c>
      <c r="C612" s="1">
        <v>43703</v>
      </c>
      <c r="D612">
        <v>2019</v>
      </c>
      <c r="E612">
        <v>8</v>
      </c>
      <c r="F612">
        <v>4.4884442389999997</v>
      </c>
      <c r="G612" t="s">
        <v>9</v>
      </c>
    </row>
    <row r="613" spans="1:7" x14ac:dyDescent="0.25">
      <c r="A613" t="s">
        <v>7</v>
      </c>
      <c r="B613" t="s">
        <v>11</v>
      </c>
      <c r="C613" s="1">
        <v>43705</v>
      </c>
      <c r="D613">
        <v>2019</v>
      </c>
      <c r="E613">
        <v>8</v>
      </c>
      <c r="F613">
        <v>0</v>
      </c>
      <c r="G613" t="s">
        <v>9</v>
      </c>
    </row>
    <row r="614" spans="1:7" x14ac:dyDescent="0.25">
      <c r="A614" t="s">
        <v>7</v>
      </c>
      <c r="B614" t="s">
        <v>11</v>
      </c>
      <c r="C614" s="1">
        <v>43712</v>
      </c>
      <c r="D614">
        <v>2019</v>
      </c>
      <c r="E614">
        <v>9</v>
      </c>
      <c r="F614">
        <v>8.8525319000000005E-2</v>
      </c>
      <c r="G614" t="s">
        <v>9</v>
      </c>
    </row>
    <row r="615" spans="1:7" x14ac:dyDescent="0.25">
      <c r="A615" t="s">
        <v>7</v>
      </c>
      <c r="B615" t="s">
        <v>11</v>
      </c>
      <c r="C615" s="1">
        <v>43717</v>
      </c>
      <c r="D615">
        <v>2019</v>
      </c>
      <c r="E615">
        <v>9</v>
      </c>
      <c r="F615">
        <v>0</v>
      </c>
      <c r="G615" t="s">
        <v>9</v>
      </c>
    </row>
    <row r="616" spans="1:7" x14ac:dyDescent="0.25">
      <c r="A616" t="s">
        <v>7</v>
      </c>
      <c r="B616" t="s">
        <v>11</v>
      </c>
      <c r="C616" s="1">
        <v>43723</v>
      </c>
      <c r="D616">
        <v>2019</v>
      </c>
      <c r="E616">
        <v>9</v>
      </c>
      <c r="F616">
        <v>0</v>
      </c>
      <c r="G616" t="s">
        <v>9</v>
      </c>
    </row>
    <row r="617" spans="1:7" x14ac:dyDescent="0.25">
      <c r="A617" t="s">
        <v>7</v>
      </c>
      <c r="B617" t="s">
        <v>11</v>
      </c>
      <c r="C617" s="1">
        <v>43730</v>
      </c>
      <c r="D617">
        <v>2019</v>
      </c>
      <c r="E617">
        <v>9</v>
      </c>
      <c r="F617">
        <v>0</v>
      </c>
      <c r="G617" t="s">
        <v>9</v>
      </c>
    </row>
    <row r="618" spans="1:7" x14ac:dyDescent="0.25">
      <c r="A618" t="s">
        <v>7</v>
      </c>
      <c r="B618" t="s">
        <v>11</v>
      </c>
      <c r="C618" s="1">
        <v>43731</v>
      </c>
      <c r="D618">
        <v>2019</v>
      </c>
      <c r="E618">
        <v>9</v>
      </c>
      <c r="F618">
        <v>4.3415679059999999</v>
      </c>
      <c r="G618" t="s">
        <v>9</v>
      </c>
    </row>
    <row r="619" spans="1:7" x14ac:dyDescent="0.25">
      <c r="A619" t="s">
        <v>7</v>
      </c>
      <c r="B619" t="s">
        <v>11</v>
      </c>
      <c r="C619" s="1">
        <v>43733</v>
      </c>
      <c r="D619">
        <v>2019</v>
      </c>
      <c r="E619">
        <v>9</v>
      </c>
      <c r="F619">
        <v>4.3609947870000001</v>
      </c>
      <c r="G619" t="s">
        <v>9</v>
      </c>
    </row>
    <row r="620" spans="1:7" x14ac:dyDescent="0.25">
      <c r="A620" t="s">
        <v>7</v>
      </c>
      <c r="B620" t="s">
        <v>11</v>
      </c>
      <c r="C620" s="1">
        <v>43735</v>
      </c>
      <c r="D620">
        <v>2019</v>
      </c>
      <c r="E620">
        <v>9</v>
      </c>
      <c r="F620">
        <v>0</v>
      </c>
      <c r="G620" t="s">
        <v>9</v>
      </c>
    </row>
    <row r="621" spans="1:7" x14ac:dyDescent="0.25">
      <c r="A621" t="s">
        <v>7</v>
      </c>
      <c r="B621" t="s">
        <v>11</v>
      </c>
      <c r="C621" s="1">
        <v>43741</v>
      </c>
      <c r="D621">
        <v>2019</v>
      </c>
      <c r="E621">
        <v>10</v>
      </c>
      <c r="F621">
        <v>0</v>
      </c>
      <c r="G621" t="s">
        <v>9</v>
      </c>
    </row>
    <row r="622" spans="1:7" x14ac:dyDescent="0.25">
      <c r="A622" t="s">
        <v>7</v>
      </c>
      <c r="B622" t="s">
        <v>11</v>
      </c>
      <c r="C622" s="1">
        <v>43750</v>
      </c>
      <c r="D622">
        <v>2019</v>
      </c>
      <c r="E622">
        <v>10</v>
      </c>
      <c r="F622">
        <v>6.2290386000000003E-2</v>
      </c>
      <c r="G622" t="s">
        <v>9</v>
      </c>
    </row>
    <row r="623" spans="1:7" x14ac:dyDescent="0.25">
      <c r="A623" t="s">
        <v>7</v>
      </c>
      <c r="B623" t="s">
        <v>11</v>
      </c>
      <c r="C623" s="1">
        <v>43758</v>
      </c>
      <c r="D623">
        <v>2019</v>
      </c>
      <c r="E623">
        <v>10</v>
      </c>
      <c r="F623">
        <v>16.111966219999999</v>
      </c>
      <c r="G623" t="s">
        <v>9</v>
      </c>
    </row>
    <row r="624" spans="1:7" x14ac:dyDescent="0.25">
      <c r="A624" t="s">
        <v>7</v>
      </c>
      <c r="B624" t="s">
        <v>11</v>
      </c>
      <c r="C624" s="1">
        <v>43759</v>
      </c>
      <c r="D624">
        <v>2019</v>
      </c>
      <c r="E624">
        <v>10</v>
      </c>
      <c r="F624">
        <v>21.80448453</v>
      </c>
      <c r="G624" t="s">
        <v>9</v>
      </c>
    </row>
    <row r="625" spans="1:7" x14ac:dyDescent="0.25">
      <c r="A625" t="s">
        <v>7</v>
      </c>
      <c r="B625" t="s">
        <v>11</v>
      </c>
      <c r="C625" s="1">
        <v>43768</v>
      </c>
      <c r="D625">
        <v>2019</v>
      </c>
      <c r="E625">
        <v>10</v>
      </c>
      <c r="F625">
        <v>38.517860919999997</v>
      </c>
      <c r="G625" t="s">
        <v>9</v>
      </c>
    </row>
    <row r="626" spans="1:7" x14ac:dyDescent="0.25">
      <c r="A626" t="s">
        <v>7</v>
      </c>
      <c r="B626" t="s">
        <v>11</v>
      </c>
      <c r="C626" s="1">
        <v>43782</v>
      </c>
      <c r="D626">
        <v>2019</v>
      </c>
      <c r="E626">
        <v>11</v>
      </c>
      <c r="F626">
        <v>1.7139082919999999</v>
      </c>
      <c r="G626" t="s">
        <v>9</v>
      </c>
    </row>
    <row r="627" spans="1:7" x14ac:dyDescent="0.25">
      <c r="A627" t="s">
        <v>7</v>
      </c>
      <c r="B627" t="s">
        <v>11</v>
      </c>
      <c r="C627" s="1">
        <v>43783</v>
      </c>
      <c r="D627">
        <v>2019</v>
      </c>
      <c r="E627">
        <v>11</v>
      </c>
      <c r="F627">
        <v>1.6764121780000001</v>
      </c>
      <c r="G627" t="s">
        <v>9</v>
      </c>
    </row>
    <row r="628" spans="1:7" x14ac:dyDescent="0.25">
      <c r="A628" t="s">
        <v>7</v>
      </c>
      <c r="B628" t="s">
        <v>11</v>
      </c>
      <c r="C628" s="1">
        <v>43784</v>
      </c>
      <c r="D628">
        <v>2019</v>
      </c>
      <c r="E628">
        <v>11</v>
      </c>
      <c r="F628">
        <v>5.2347851079999996</v>
      </c>
      <c r="G628" t="s">
        <v>9</v>
      </c>
    </row>
    <row r="629" spans="1:7" x14ac:dyDescent="0.25">
      <c r="A629" t="s">
        <v>7</v>
      </c>
      <c r="B629" t="s">
        <v>11</v>
      </c>
      <c r="C629" s="1">
        <v>43785</v>
      </c>
      <c r="D629">
        <v>2019</v>
      </c>
      <c r="E629">
        <v>11</v>
      </c>
      <c r="F629">
        <v>4.7801779370000004</v>
      </c>
      <c r="G629" t="s">
        <v>9</v>
      </c>
    </row>
    <row r="630" spans="1:7" x14ac:dyDescent="0.25">
      <c r="A630" t="s">
        <v>7</v>
      </c>
      <c r="B630" t="s">
        <v>11</v>
      </c>
      <c r="C630" s="1">
        <v>43787</v>
      </c>
      <c r="D630">
        <v>2019</v>
      </c>
      <c r="E630">
        <v>11</v>
      </c>
      <c r="F630">
        <v>13.01558676</v>
      </c>
      <c r="G630" t="s">
        <v>9</v>
      </c>
    </row>
    <row r="631" spans="1:7" x14ac:dyDescent="0.25">
      <c r="A631" t="s">
        <v>7</v>
      </c>
      <c r="B631" t="s">
        <v>11</v>
      </c>
      <c r="C631" s="1">
        <v>43796</v>
      </c>
      <c r="D631">
        <v>2019</v>
      </c>
      <c r="E631">
        <v>11</v>
      </c>
      <c r="F631">
        <v>8.2786593780000004</v>
      </c>
      <c r="G631" t="s">
        <v>9</v>
      </c>
    </row>
    <row r="632" spans="1:7" x14ac:dyDescent="0.25">
      <c r="A632" t="s">
        <v>7</v>
      </c>
      <c r="B632" t="s">
        <v>11</v>
      </c>
      <c r="C632" s="1">
        <v>43797</v>
      </c>
      <c r="D632">
        <v>2019</v>
      </c>
      <c r="E632">
        <v>11</v>
      </c>
      <c r="F632">
        <v>41.754183300000001</v>
      </c>
      <c r="G632" t="s">
        <v>9</v>
      </c>
    </row>
    <row r="633" spans="1:7" x14ac:dyDescent="0.25">
      <c r="A633" t="s">
        <v>7</v>
      </c>
      <c r="B633" t="s">
        <v>11</v>
      </c>
      <c r="C633" s="1">
        <v>43798</v>
      </c>
      <c r="D633">
        <v>2019</v>
      </c>
      <c r="E633">
        <v>11</v>
      </c>
      <c r="F633">
        <v>43.741378650000001</v>
      </c>
      <c r="G633" t="s">
        <v>9</v>
      </c>
    </row>
    <row r="634" spans="1:7" x14ac:dyDescent="0.25">
      <c r="A634" t="s">
        <v>7</v>
      </c>
      <c r="B634" t="s">
        <v>11</v>
      </c>
      <c r="C634" s="1">
        <v>43805</v>
      </c>
      <c r="D634">
        <v>2019</v>
      </c>
      <c r="E634">
        <v>12</v>
      </c>
      <c r="F634">
        <v>0</v>
      </c>
      <c r="G634" t="s">
        <v>9</v>
      </c>
    </row>
    <row r="635" spans="1:7" x14ac:dyDescent="0.25">
      <c r="A635" t="s">
        <v>7</v>
      </c>
      <c r="B635" t="s">
        <v>11</v>
      </c>
      <c r="C635" s="1">
        <v>43809</v>
      </c>
      <c r="D635">
        <v>2019</v>
      </c>
      <c r="E635">
        <v>12</v>
      </c>
      <c r="F635">
        <v>0</v>
      </c>
      <c r="G635" t="s">
        <v>9</v>
      </c>
    </row>
    <row r="636" spans="1:7" x14ac:dyDescent="0.25">
      <c r="A636" t="s">
        <v>7</v>
      </c>
      <c r="B636" t="s">
        <v>11</v>
      </c>
      <c r="C636" s="1">
        <v>43811</v>
      </c>
      <c r="D636">
        <v>2019</v>
      </c>
      <c r="E636">
        <v>12</v>
      </c>
      <c r="F636">
        <v>0</v>
      </c>
      <c r="G636" t="s">
        <v>9</v>
      </c>
    </row>
    <row r="637" spans="1:7" x14ac:dyDescent="0.25">
      <c r="A637" t="s">
        <v>7</v>
      </c>
      <c r="B637" t="s">
        <v>11</v>
      </c>
      <c r="C637" s="1">
        <v>43824</v>
      </c>
      <c r="D637">
        <v>2019</v>
      </c>
      <c r="E637">
        <v>12</v>
      </c>
      <c r="F637">
        <v>102.7562312</v>
      </c>
      <c r="G637" t="s">
        <v>9</v>
      </c>
    </row>
    <row r="638" spans="1:7" x14ac:dyDescent="0.25">
      <c r="A638" t="s">
        <v>7</v>
      </c>
      <c r="B638" t="s">
        <v>11</v>
      </c>
      <c r="C638" s="1">
        <v>43828</v>
      </c>
      <c r="D638">
        <v>2019</v>
      </c>
      <c r="E638">
        <v>12</v>
      </c>
      <c r="F638">
        <v>0</v>
      </c>
      <c r="G638" t="s">
        <v>9</v>
      </c>
    </row>
    <row r="639" spans="1:7" x14ac:dyDescent="0.25">
      <c r="A639" t="s">
        <v>7</v>
      </c>
      <c r="B639" t="s">
        <v>12</v>
      </c>
      <c r="C639" s="1">
        <v>43470</v>
      </c>
      <c r="D639">
        <v>2019</v>
      </c>
      <c r="E639">
        <v>1</v>
      </c>
      <c r="F639">
        <v>0</v>
      </c>
      <c r="G639" t="s">
        <v>9</v>
      </c>
    </row>
    <row r="640" spans="1:7" x14ac:dyDescent="0.25">
      <c r="A640" t="s">
        <v>7</v>
      </c>
      <c r="B640" t="s">
        <v>12</v>
      </c>
      <c r="C640" s="1">
        <v>43472</v>
      </c>
      <c r="D640">
        <v>2019</v>
      </c>
      <c r="E640">
        <v>1</v>
      </c>
      <c r="F640">
        <v>0</v>
      </c>
      <c r="G640" t="s">
        <v>9</v>
      </c>
    </row>
    <row r="641" spans="1:7" x14ac:dyDescent="0.25">
      <c r="A641" t="s">
        <v>7</v>
      </c>
      <c r="B641" t="s">
        <v>12</v>
      </c>
      <c r="C641" s="1">
        <v>43475</v>
      </c>
      <c r="D641">
        <v>2019</v>
      </c>
      <c r="E641">
        <v>1</v>
      </c>
      <c r="F641">
        <v>0</v>
      </c>
      <c r="G641" t="s">
        <v>9</v>
      </c>
    </row>
    <row r="642" spans="1:7" x14ac:dyDescent="0.25">
      <c r="A642" t="s">
        <v>7</v>
      </c>
      <c r="B642" t="s">
        <v>12</v>
      </c>
      <c r="C642" s="1">
        <v>43478</v>
      </c>
      <c r="D642">
        <v>2019</v>
      </c>
      <c r="E642">
        <v>1</v>
      </c>
      <c r="F642">
        <v>0</v>
      </c>
      <c r="G642" t="s">
        <v>9</v>
      </c>
    </row>
    <row r="643" spans="1:7" x14ac:dyDescent="0.25">
      <c r="A643" t="s">
        <v>7</v>
      </c>
      <c r="B643" t="s">
        <v>12</v>
      </c>
      <c r="C643" s="1">
        <v>43484</v>
      </c>
      <c r="D643">
        <v>2019</v>
      </c>
      <c r="E643">
        <v>1</v>
      </c>
      <c r="F643">
        <v>0</v>
      </c>
      <c r="G643" t="s">
        <v>9</v>
      </c>
    </row>
    <row r="644" spans="1:7" x14ac:dyDescent="0.25">
      <c r="A644" t="s">
        <v>7</v>
      </c>
      <c r="B644" t="s">
        <v>12</v>
      </c>
      <c r="C644" s="1">
        <v>43486</v>
      </c>
      <c r="D644">
        <v>2019</v>
      </c>
      <c r="E644">
        <v>1</v>
      </c>
      <c r="F644">
        <v>0</v>
      </c>
      <c r="G644" t="s">
        <v>9</v>
      </c>
    </row>
    <row r="645" spans="1:7" x14ac:dyDescent="0.25">
      <c r="A645" t="s">
        <v>7</v>
      </c>
      <c r="B645" t="s">
        <v>12</v>
      </c>
      <c r="C645" s="1">
        <v>43487</v>
      </c>
      <c r="D645">
        <v>2019</v>
      </c>
      <c r="E645">
        <v>1</v>
      </c>
      <c r="F645">
        <v>0</v>
      </c>
      <c r="G645" t="s">
        <v>9</v>
      </c>
    </row>
    <row r="646" spans="1:7" x14ac:dyDescent="0.25">
      <c r="A646" t="s">
        <v>7</v>
      </c>
      <c r="B646" t="s">
        <v>12</v>
      </c>
      <c r="C646" s="1">
        <v>43490</v>
      </c>
      <c r="D646">
        <v>2019</v>
      </c>
      <c r="E646">
        <v>1</v>
      </c>
      <c r="F646">
        <v>0</v>
      </c>
      <c r="G646" t="s">
        <v>9</v>
      </c>
    </row>
    <row r="647" spans="1:7" x14ac:dyDescent="0.25">
      <c r="A647" t="s">
        <v>7</v>
      </c>
      <c r="B647" t="s">
        <v>12</v>
      </c>
      <c r="C647" s="1">
        <v>43494</v>
      </c>
      <c r="D647">
        <v>2019</v>
      </c>
      <c r="E647">
        <v>1</v>
      </c>
      <c r="F647">
        <v>0</v>
      </c>
      <c r="G647" t="s">
        <v>9</v>
      </c>
    </row>
    <row r="648" spans="1:7" x14ac:dyDescent="0.25">
      <c r="A648" t="s">
        <v>7</v>
      </c>
      <c r="B648" t="s">
        <v>12</v>
      </c>
      <c r="C648" s="1">
        <v>43501</v>
      </c>
      <c r="D648">
        <v>2019</v>
      </c>
      <c r="E648">
        <v>2</v>
      </c>
      <c r="F648">
        <v>0</v>
      </c>
      <c r="G648" t="s">
        <v>9</v>
      </c>
    </row>
    <row r="649" spans="1:7" x14ac:dyDescent="0.25">
      <c r="A649" t="s">
        <v>7</v>
      </c>
      <c r="B649" t="s">
        <v>12</v>
      </c>
      <c r="C649" s="1">
        <v>43502</v>
      </c>
      <c r="D649">
        <v>2019</v>
      </c>
      <c r="E649">
        <v>2</v>
      </c>
      <c r="F649">
        <v>0</v>
      </c>
      <c r="G649" t="s">
        <v>9</v>
      </c>
    </row>
    <row r="650" spans="1:7" x14ac:dyDescent="0.25">
      <c r="A650" t="s">
        <v>7</v>
      </c>
      <c r="B650" t="s">
        <v>12</v>
      </c>
      <c r="C650" s="1">
        <v>43503</v>
      </c>
      <c r="D650">
        <v>2019</v>
      </c>
      <c r="E650">
        <v>2</v>
      </c>
      <c r="F650">
        <v>0</v>
      </c>
      <c r="G650" t="s">
        <v>9</v>
      </c>
    </row>
    <row r="651" spans="1:7" x14ac:dyDescent="0.25">
      <c r="A651" t="s">
        <v>7</v>
      </c>
      <c r="B651" t="s">
        <v>12</v>
      </c>
      <c r="C651" s="1">
        <v>43515</v>
      </c>
      <c r="D651">
        <v>2019</v>
      </c>
      <c r="E651">
        <v>2</v>
      </c>
      <c r="F651">
        <v>0</v>
      </c>
      <c r="G651" t="s">
        <v>9</v>
      </c>
    </row>
    <row r="652" spans="1:7" x14ac:dyDescent="0.25">
      <c r="A652" t="s">
        <v>7</v>
      </c>
      <c r="B652" t="s">
        <v>12</v>
      </c>
      <c r="C652" s="1">
        <v>43526</v>
      </c>
      <c r="D652">
        <v>2019</v>
      </c>
      <c r="E652">
        <v>3</v>
      </c>
      <c r="F652">
        <v>0</v>
      </c>
      <c r="G652" t="s">
        <v>9</v>
      </c>
    </row>
    <row r="653" spans="1:7" x14ac:dyDescent="0.25">
      <c r="A653" t="s">
        <v>7</v>
      </c>
      <c r="B653" t="s">
        <v>12</v>
      </c>
      <c r="C653" s="1">
        <v>43534</v>
      </c>
      <c r="D653">
        <v>2019</v>
      </c>
      <c r="E653">
        <v>3</v>
      </c>
      <c r="F653">
        <v>0</v>
      </c>
      <c r="G653" t="s">
        <v>9</v>
      </c>
    </row>
    <row r="654" spans="1:7" x14ac:dyDescent="0.25">
      <c r="A654" t="s">
        <v>7</v>
      </c>
      <c r="B654" t="s">
        <v>12</v>
      </c>
      <c r="C654" s="1">
        <v>43537</v>
      </c>
      <c r="D654">
        <v>2019</v>
      </c>
      <c r="E654">
        <v>3</v>
      </c>
      <c r="F654">
        <v>0</v>
      </c>
      <c r="G654" t="s">
        <v>9</v>
      </c>
    </row>
    <row r="655" spans="1:7" x14ac:dyDescent="0.25">
      <c r="A655" t="s">
        <v>7</v>
      </c>
      <c r="B655" t="s">
        <v>12</v>
      </c>
      <c r="C655" s="1">
        <v>43541</v>
      </c>
      <c r="D655">
        <v>2019</v>
      </c>
      <c r="E655">
        <v>3</v>
      </c>
      <c r="F655">
        <v>0</v>
      </c>
      <c r="G655" t="s">
        <v>9</v>
      </c>
    </row>
    <row r="656" spans="1:7" x14ac:dyDescent="0.25">
      <c r="A656" t="s">
        <v>7</v>
      </c>
      <c r="B656" t="s">
        <v>12</v>
      </c>
      <c r="C656" s="1">
        <v>43544</v>
      </c>
      <c r="D656">
        <v>2019</v>
      </c>
      <c r="E656">
        <v>3</v>
      </c>
      <c r="F656">
        <v>0</v>
      </c>
      <c r="G656" t="s">
        <v>9</v>
      </c>
    </row>
    <row r="657" spans="1:7" x14ac:dyDescent="0.25">
      <c r="A657" t="s">
        <v>7</v>
      </c>
      <c r="B657" t="s">
        <v>12</v>
      </c>
      <c r="C657" s="1">
        <v>43546</v>
      </c>
      <c r="D657">
        <v>2019</v>
      </c>
      <c r="E657">
        <v>3</v>
      </c>
      <c r="F657">
        <v>0</v>
      </c>
      <c r="G657" t="s">
        <v>9</v>
      </c>
    </row>
    <row r="658" spans="1:7" x14ac:dyDescent="0.25">
      <c r="A658" t="s">
        <v>7</v>
      </c>
      <c r="B658" t="s">
        <v>12</v>
      </c>
      <c r="C658" s="1">
        <v>43550</v>
      </c>
      <c r="D658">
        <v>2019</v>
      </c>
      <c r="E658">
        <v>3</v>
      </c>
      <c r="F658">
        <v>0</v>
      </c>
      <c r="G658" t="s">
        <v>9</v>
      </c>
    </row>
    <row r="659" spans="1:7" x14ac:dyDescent="0.25">
      <c r="A659" t="s">
        <v>7</v>
      </c>
      <c r="B659" t="s">
        <v>12</v>
      </c>
      <c r="C659" s="1">
        <v>43561</v>
      </c>
      <c r="D659">
        <v>2019</v>
      </c>
      <c r="E659">
        <v>4</v>
      </c>
      <c r="F659">
        <v>0</v>
      </c>
      <c r="G659" t="s">
        <v>9</v>
      </c>
    </row>
    <row r="660" spans="1:7" x14ac:dyDescent="0.25">
      <c r="A660" t="s">
        <v>7</v>
      </c>
      <c r="B660" t="s">
        <v>12</v>
      </c>
      <c r="C660" s="1">
        <v>43567</v>
      </c>
      <c r="D660">
        <v>2019</v>
      </c>
      <c r="E660">
        <v>4</v>
      </c>
      <c r="F660">
        <v>6.0918302539999996</v>
      </c>
      <c r="G660" t="s">
        <v>9</v>
      </c>
    </row>
    <row r="661" spans="1:7" x14ac:dyDescent="0.25">
      <c r="A661" t="s">
        <v>7</v>
      </c>
      <c r="B661" t="s">
        <v>12</v>
      </c>
      <c r="C661" s="1">
        <v>43568</v>
      </c>
      <c r="D661">
        <v>2019</v>
      </c>
      <c r="E661">
        <v>4</v>
      </c>
      <c r="F661">
        <v>0</v>
      </c>
      <c r="G661" t="s">
        <v>9</v>
      </c>
    </row>
    <row r="662" spans="1:7" x14ac:dyDescent="0.25">
      <c r="A662" t="s">
        <v>7</v>
      </c>
      <c r="B662" t="s">
        <v>12</v>
      </c>
      <c r="C662" s="1">
        <v>43571</v>
      </c>
      <c r="D662">
        <v>2019</v>
      </c>
      <c r="E662">
        <v>4</v>
      </c>
      <c r="F662">
        <v>0</v>
      </c>
      <c r="G662" t="s">
        <v>9</v>
      </c>
    </row>
    <row r="663" spans="1:7" x14ac:dyDescent="0.25">
      <c r="A663" t="s">
        <v>7</v>
      </c>
      <c r="B663" t="s">
        <v>12</v>
      </c>
      <c r="C663" s="1">
        <v>43574</v>
      </c>
      <c r="D663">
        <v>2019</v>
      </c>
      <c r="E663">
        <v>4</v>
      </c>
      <c r="F663">
        <v>0.96280592700000001</v>
      </c>
      <c r="G663" t="s">
        <v>9</v>
      </c>
    </row>
    <row r="664" spans="1:7" x14ac:dyDescent="0.25">
      <c r="A664" t="s">
        <v>7</v>
      </c>
      <c r="B664" t="s">
        <v>12</v>
      </c>
      <c r="C664" s="1">
        <v>43586</v>
      </c>
      <c r="D664">
        <v>2019</v>
      </c>
      <c r="E664">
        <v>5</v>
      </c>
      <c r="F664">
        <v>3.8554334639999999</v>
      </c>
      <c r="G664" t="s">
        <v>9</v>
      </c>
    </row>
    <row r="665" spans="1:7" x14ac:dyDescent="0.25">
      <c r="A665" t="s">
        <v>7</v>
      </c>
      <c r="B665" t="s">
        <v>12</v>
      </c>
      <c r="C665" s="1">
        <v>43600</v>
      </c>
      <c r="D665">
        <v>2019</v>
      </c>
      <c r="E665">
        <v>5</v>
      </c>
      <c r="F665">
        <v>0</v>
      </c>
      <c r="G665" t="s">
        <v>9</v>
      </c>
    </row>
    <row r="666" spans="1:7" x14ac:dyDescent="0.25">
      <c r="A666" t="s">
        <v>7</v>
      </c>
      <c r="B666" t="s">
        <v>12</v>
      </c>
      <c r="C666" s="1">
        <v>43601</v>
      </c>
      <c r="D666">
        <v>2019</v>
      </c>
      <c r="E666">
        <v>5</v>
      </c>
      <c r="F666">
        <v>0</v>
      </c>
      <c r="G666" t="s">
        <v>9</v>
      </c>
    </row>
    <row r="667" spans="1:7" x14ac:dyDescent="0.25">
      <c r="A667" t="s">
        <v>7</v>
      </c>
      <c r="B667" t="s">
        <v>12</v>
      </c>
      <c r="C667" s="1">
        <v>43609</v>
      </c>
      <c r="D667">
        <v>2019</v>
      </c>
      <c r="E667">
        <v>5</v>
      </c>
      <c r="F667">
        <v>3.514517546</v>
      </c>
      <c r="G667" t="s">
        <v>9</v>
      </c>
    </row>
    <row r="668" spans="1:7" x14ac:dyDescent="0.25">
      <c r="A668" t="s">
        <v>7</v>
      </c>
      <c r="B668" t="s">
        <v>12</v>
      </c>
      <c r="C668" s="1">
        <v>43611</v>
      </c>
      <c r="D668">
        <v>2019</v>
      </c>
      <c r="E668">
        <v>5</v>
      </c>
      <c r="F668">
        <v>0</v>
      </c>
      <c r="G668" t="s">
        <v>9</v>
      </c>
    </row>
    <row r="669" spans="1:7" x14ac:dyDescent="0.25">
      <c r="A669" t="s">
        <v>7</v>
      </c>
      <c r="B669" t="s">
        <v>12</v>
      </c>
      <c r="C669" s="1">
        <v>43613</v>
      </c>
      <c r="D669">
        <v>2019</v>
      </c>
      <c r="E669">
        <v>5</v>
      </c>
      <c r="F669">
        <v>0</v>
      </c>
      <c r="G669" t="s">
        <v>9</v>
      </c>
    </row>
    <row r="670" spans="1:7" x14ac:dyDescent="0.25">
      <c r="A670" t="s">
        <v>7</v>
      </c>
      <c r="B670" t="s">
        <v>12</v>
      </c>
      <c r="C670" s="1">
        <v>43624</v>
      </c>
      <c r="D670">
        <v>2019</v>
      </c>
      <c r="E670">
        <v>6</v>
      </c>
      <c r="F670">
        <v>10.444726940000001</v>
      </c>
      <c r="G670" t="s">
        <v>9</v>
      </c>
    </row>
    <row r="671" spans="1:7" x14ac:dyDescent="0.25">
      <c r="A671" t="s">
        <v>7</v>
      </c>
      <c r="B671" t="s">
        <v>12</v>
      </c>
      <c r="C671" s="1">
        <v>43627</v>
      </c>
      <c r="D671">
        <v>2019</v>
      </c>
      <c r="E671">
        <v>6</v>
      </c>
      <c r="F671">
        <v>47.767658230000002</v>
      </c>
      <c r="G671" t="s">
        <v>9</v>
      </c>
    </row>
    <row r="672" spans="1:7" x14ac:dyDescent="0.25">
      <c r="A672" t="s">
        <v>7</v>
      </c>
      <c r="B672" t="s">
        <v>12</v>
      </c>
      <c r="C672" s="1">
        <v>43630</v>
      </c>
      <c r="D672">
        <v>2019</v>
      </c>
      <c r="E672">
        <v>6</v>
      </c>
      <c r="F672">
        <v>16.933237080000001</v>
      </c>
      <c r="G672" t="s">
        <v>9</v>
      </c>
    </row>
    <row r="673" spans="1:7" x14ac:dyDescent="0.25">
      <c r="A673" t="s">
        <v>7</v>
      </c>
      <c r="B673" t="s">
        <v>12</v>
      </c>
      <c r="C673" s="1">
        <v>43633</v>
      </c>
      <c r="D673">
        <v>2019</v>
      </c>
      <c r="E673">
        <v>6</v>
      </c>
      <c r="F673">
        <v>3.6947383880000002</v>
      </c>
      <c r="G673" t="s">
        <v>9</v>
      </c>
    </row>
    <row r="674" spans="1:7" x14ac:dyDescent="0.25">
      <c r="A674" t="s">
        <v>7</v>
      </c>
      <c r="B674" t="s">
        <v>12</v>
      </c>
      <c r="C674" s="1">
        <v>43635</v>
      </c>
      <c r="D674">
        <v>2019</v>
      </c>
      <c r="E674">
        <v>6</v>
      </c>
      <c r="F674">
        <v>67.600997919999998</v>
      </c>
      <c r="G674" t="s">
        <v>9</v>
      </c>
    </row>
    <row r="675" spans="1:7" x14ac:dyDescent="0.25">
      <c r="A675" t="s">
        <v>7</v>
      </c>
      <c r="B675" t="s">
        <v>12</v>
      </c>
      <c r="C675" s="1">
        <v>43639</v>
      </c>
      <c r="D675">
        <v>2019</v>
      </c>
      <c r="E675">
        <v>6</v>
      </c>
      <c r="F675">
        <v>13.85111809</v>
      </c>
      <c r="G675" t="s">
        <v>9</v>
      </c>
    </row>
    <row r="676" spans="1:7" x14ac:dyDescent="0.25">
      <c r="A676" t="s">
        <v>7</v>
      </c>
      <c r="B676" t="s">
        <v>12</v>
      </c>
      <c r="C676" s="1">
        <v>43640</v>
      </c>
      <c r="D676">
        <v>2019</v>
      </c>
      <c r="E676">
        <v>6</v>
      </c>
      <c r="F676">
        <v>30.345214840000001</v>
      </c>
      <c r="G676" t="s">
        <v>9</v>
      </c>
    </row>
    <row r="677" spans="1:7" x14ac:dyDescent="0.25">
      <c r="A677" t="s">
        <v>7</v>
      </c>
      <c r="B677" t="s">
        <v>12</v>
      </c>
      <c r="C677" s="1">
        <v>43641</v>
      </c>
      <c r="D677">
        <v>2019</v>
      </c>
      <c r="E677">
        <v>6</v>
      </c>
      <c r="F677">
        <v>12.18718052</v>
      </c>
      <c r="G677" t="s">
        <v>9</v>
      </c>
    </row>
    <row r="678" spans="1:7" x14ac:dyDescent="0.25">
      <c r="A678" t="s">
        <v>7</v>
      </c>
      <c r="B678" t="s">
        <v>12</v>
      </c>
      <c r="C678" s="1">
        <v>43642</v>
      </c>
      <c r="D678">
        <v>2019</v>
      </c>
      <c r="E678">
        <v>6</v>
      </c>
      <c r="F678">
        <v>34.952636720000001</v>
      </c>
      <c r="G678" t="s">
        <v>9</v>
      </c>
    </row>
    <row r="679" spans="1:7" x14ac:dyDescent="0.25">
      <c r="A679" t="s">
        <v>7</v>
      </c>
      <c r="B679" t="s">
        <v>12</v>
      </c>
      <c r="C679" s="1">
        <v>43649</v>
      </c>
      <c r="D679">
        <v>2019</v>
      </c>
      <c r="E679">
        <v>7</v>
      </c>
      <c r="F679">
        <v>6.2471084589999997</v>
      </c>
      <c r="G679" t="s">
        <v>9</v>
      </c>
    </row>
    <row r="680" spans="1:7" x14ac:dyDescent="0.25">
      <c r="A680" t="s">
        <v>7</v>
      </c>
      <c r="B680" t="s">
        <v>12</v>
      </c>
      <c r="C680" s="1">
        <v>43651</v>
      </c>
      <c r="D680">
        <v>2019</v>
      </c>
      <c r="E680">
        <v>7</v>
      </c>
      <c r="F680">
        <v>29.990255359999999</v>
      </c>
      <c r="G680" t="s">
        <v>9</v>
      </c>
    </row>
    <row r="681" spans="1:7" x14ac:dyDescent="0.25">
      <c r="A681" t="s">
        <v>7</v>
      </c>
      <c r="B681" t="s">
        <v>12</v>
      </c>
      <c r="C681" s="1">
        <v>43653</v>
      </c>
      <c r="D681">
        <v>2019</v>
      </c>
      <c r="E681">
        <v>7</v>
      </c>
      <c r="F681">
        <v>19.887001040000001</v>
      </c>
      <c r="G681" t="s">
        <v>9</v>
      </c>
    </row>
    <row r="682" spans="1:7" x14ac:dyDescent="0.25">
      <c r="A682" t="s">
        <v>7</v>
      </c>
      <c r="B682" t="s">
        <v>12</v>
      </c>
      <c r="C682" s="1">
        <v>43656</v>
      </c>
      <c r="D682">
        <v>2019</v>
      </c>
      <c r="E682">
        <v>7</v>
      </c>
      <c r="F682">
        <v>51.642444609999998</v>
      </c>
      <c r="G682" t="s">
        <v>9</v>
      </c>
    </row>
    <row r="683" spans="1:7" x14ac:dyDescent="0.25">
      <c r="A683" t="s">
        <v>7</v>
      </c>
      <c r="B683" t="s">
        <v>12</v>
      </c>
      <c r="C683" s="1">
        <v>43659</v>
      </c>
      <c r="D683">
        <v>2019</v>
      </c>
      <c r="E683">
        <v>7</v>
      </c>
      <c r="F683">
        <v>1.574552894</v>
      </c>
      <c r="G683" t="s">
        <v>9</v>
      </c>
    </row>
    <row r="684" spans="1:7" x14ac:dyDescent="0.25">
      <c r="A684" t="s">
        <v>7</v>
      </c>
      <c r="B684" t="s">
        <v>12</v>
      </c>
      <c r="C684" s="1">
        <v>43661</v>
      </c>
      <c r="D684">
        <v>2019</v>
      </c>
      <c r="E684">
        <v>7</v>
      </c>
      <c r="F684">
        <v>22.203765870000002</v>
      </c>
      <c r="G684" t="s">
        <v>9</v>
      </c>
    </row>
    <row r="685" spans="1:7" x14ac:dyDescent="0.25">
      <c r="A685" t="s">
        <v>7</v>
      </c>
      <c r="B685" t="s">
        <v>12</v>
      </c>
      <c r="C685" s="1">
        <v>43663</v>
      </c>
      <c r="D685">
        <v>2019</v>
      </c>
      <c r="E685">
        <v>7</v>
      </c>
      <c r="F685">
        <v>23.346561430000001</v>
      </c>
      <c r="G685" t="s">
        <v>9</v>
      </c>
    </row>
    <row r="686" spans="1:7" x14ac:dyDescent="0.25">
      <c r="A686" t="s">
        <v>7</v>
      </c>
      <c r="B686" t="s">
        <v>12</v>
      </c>
      <c r="C686" s="1">
        <v>43664</v>
      </c>
      <c r="D686">
        <v>2019</v>
      </c>
      <c r="E686">
        <v>7</v>
      </c>
      <c r="F686">
        <v>0.54784315800000005</v>
      </c>
      <c r="G686" t="s">
        <v>9</v>
      </c>
    </row>
    <row r="687" spans="1:7" x14ac:dyDescent="0.25">
      <c r="A687" t="s">
        <v>7</v>
      </c>
      <c r="B687" t="s">
        <v>12</v>
      </c>
      <c r="C687" s="1">
        <v>43667</v>
      </c>
      <c r="D687">
        <v>2019</v>
      </c>
      <c r="E687">
        <v>7</v>
      </c>
      <c r="F687">
        <v>115.71257780000001</v>
      </c>
      <c r="G687" t="s">
        <v>9</v>
      </c>
    </row>
    <row r="688" spans="1:7" x14ac:dyDescent="0.25">
      <c r="A688" t="s">
        <v>7</v>
      </c>
      <c r="B688" t="s">
        <v>12</v>
      </c>
      <c r="C688" s="1">
        <v>43672</v>
      </c>
      <c r="D688">
        <v>2019</v>
      </c>
      <c r="E688">
        <v>7</v>
      </c>
      <c r="F688">
        <v>32.966636659999999</v>
      </c>
      <c r="G688" t="s">
        <v>9</v>
      </c>
    </row>
    <row r="689" spans="1:7" x14ac:dyDescent="0.25">
      <c r="A689" t="s">
        <v>7</v>
      </c>
      <c r="B689" t="s">
        <v>12</v>
      </c>
      <c r="C689" s="1">
        <v>43674</v>
      </c>
      <c r="D689">
        <v>2019</v>
      </c>
      <c r="E689">
        <v>7</v>
      </c>
      <c r="F689">
        <v>0.93720465900000005</v>
      </c>
      <c r="G689" t="s">
        <v>9</v>
      </c>
    </row>
    <row r="690" spans="1:7" x14ac:dyDescent="0.25">
      <c r="A690" t="s">
        <v>7</v>
      </c>
      <c r="B690" t="s">
        <v>12</v>
      </c>
      <c r="C690" s="1">
        <v>43687</v>
      </c>
      <c r="D690">
        <v>2019</v>
      </c>
      <c r="E690">
        <v>8</v>
      </c>
      <c r="F690">
        <v>215.62184139999999</v>
      </c>
      <c r="G690" t="s">
        <v>9</v>
      </c>
    </row>
    <row r="691" spans="1:7" x14ac:dyDescent="0.25">
      <c r="A691" t="s">
        <v>7</v>
      </c>
      <c r="B691" t="s">
        <v>12</v>
      </c>
      <c r="C691" s="1">
        <v>43695</v>
      </c>
      <c r="D691">
        <v>2019</v>
      </c>
      <c r="E691">
        <v>8</v>
      </c>
      <c r="F691">
        <v>0.70290350899999998</v>
      </c>
      <c r="G691" t="s">
        <v>9</v>
      </c>
    </row>
    <row r="692" spans="1:7" x14ac:dyDescent="0.25">
      <c r="A692" t="s">
        <v>7</v>
      </c>
      <c r="B692" t="s">
        <v>12</v>
      </c>
      <c r="C692" s="1">
        <v>43697</v>
      </c>
      <c r="D692">
        <v>2019</v>
      </c>
      <c r="E692">
        <v>8</v>
      </c>
      <c r="F692">
        <v>1.2610108849999999</v>
      </c>
      <c r="G692" t="s">
        <v>9</v>
      </c>
    </row>
    <row r="693" spans="1:7" x14ac:dyDescent="0.25">
      <c r="A693" t="s">
        <v>7</v>
      </c>
      <c r="B693" t="s">
        <v>12</v>
      </c>
      <c r="C693" s="1">
        <v>43704</v>
      </c>
      <c r="D693">
        <v>2019</v>
      </c>
      <c r="E693">
        <v>8</v>
      </c>
      <c r="F693">
        <v>56.199306489999998</v>
      </c>
      <c r="G693" t="s">
        <v>9</v>
      </c>
    </row>
    <row r="694" spans="1:7" x14ac:dyDescent="0.25">
      <c r="A694" t="s">
        <v>7</v>
      </c>
      <c r="B694" t="s">
        <v>12</v>
      </c>
      <c r="C694" s="1">
        <v>43712</v>
      </c>
      <c r="D694">
        <v>2019</v>
      </c>
      <c r="E694">
        <v>9</v>
      </c>
      <c r="F694">
        <v>52.917446140000003</v>
      </c>
      <c r="G694" t="s">
        <v>9</v>
      </c>
    </row>
    <row r="695" spans="1:7" x14ac:dyDescent="0.25">
      <c r="A695" t="s">
        <v>7</v>
      </c>
      <c r="B695" t="s">
        <v>12</v>
      </c>
      <c r="C695" s="1">
        <v>43719</v>
      </c>
      <c r="D695">
        <v>2019</v>
      </c>
      <c r="E695">
        <v>9</v>
      </c>
      <c r="F695">
        <v>19.777404789999999</v>
      </c>
      <c r="G695" t="s">
        <v>9</v>
      </c>
    </row>
    <row r="696" spans="1:7" x14ac:dyDescent="0.25">
      <c r="A696" t="s">
        <v>7</v>
      </c>
      <c r="B696" t="s">
        <v>12</v>
      </c>
      <c r="C696" s="1">
        <v>43720</v>
      </c>
      <c r="D696">
        <v>2019</v>
      </c>
      <c r="E696">
        <v>9</v>
      </c>
      <c r="F696">
        <v>47.761348720000001</v>
      </c>
      <c r="G696" t="s">
        <v>9</v>
      </c>
    </row>
    <row r="697" spans="1:7" x14ac:dyDescent="0.25">
      <c r="A697" t="s">
        <v>7</v>
      </c>
      <c r="B697" t="s">
        <v>12</v>
      </c>
      <c r="C697" s="1">
        <v>43724</v>
      </c>
      <c r="D697">
        <v>2019</v>
      </c>
      <c r="E697">
        <v>9</v>
      </c>
      <c r="F697">
        <v>4.0052962299999999</v>
      </c>
      <c r="G697" t="s">
        <v>9</v>
      </c>
    </row>
    <row r="698" spans="1:7" x14ac:dyDescent="0.25">
      <c r="A698" t="s">
        <v>7</v>
      </c>
      <c r="B698" t="s">
        <v>12</v>
      </c>
      <c r="C698" s="1">
        <v>43726</v>
      </c>
      <c r="D698">
        <v>2019</v>
      </c>
      <c r="E698">
        <v>9</v>
      </c>
      <c r="F698">
        <v>0.23430116500000001</v>
      </c>
      <c r="G698" t="s">
        <v>9</v>
      </c>
    </row>
    <row r="699" spans="1:7" x14ac:dyDescent="0.25">
      <c r="A699" t="s">
        <v>7</v>
      </c>
      <c r="B699" t="s">
        <v>12</v>
      </c>
      <c r="C699" s="1">
        <v>43727</v>
      </c>
      <c r="D699">
        <v>2019</v>
      </c>
      <c r="E699">
        <v>9</v>
      </c>
      <c r="F699">
        <v>16.021839140000001</v>
      </c>
      <c r="G699" t="s">
        <v>9</v>
      </c>
    </row>
    <row r="700" spans="1:7" x14ac:dyDescent="0.25">
      <c r="A700" t="s">
        <v>7</v>
      </c>
      <c r="B700" t="s">
        <v>12</v>
      </c>
      <c r="C700" s="1">
        <v>43731</v>
      </c>
      <c r="D700">
        <v>2019</v>
      </c>
      <c r="E700">
        <v>9</v>
      </c>
      <c r="F700">
        <v>0</v>
      </c>
      <c r="G700" t="s">
        <v>9</v>
      </c>
    </row>
    <row r="701" spans="1:7" x14ac:dyDescent="0.25">
      <c r="A701" t="s">
        <v>7</v>
      </c>
      <c r="B701" t="s">
        <v>12</v>
      </c>
      <c r="C701" s="1">
        <v>43733</v>
      </c>
      <c r="D701">
        <v>2019</v>
      </c>
      <c r="E701">
        <v>9</v>
      </c>
      <c r="F701">
        <v>57.993038179999999</v>
      </c>
      <c r="G701" t="s">
        <v>9</v>
      </c>
    </row>
    <row r="702" spans="1:7" x14ac:dyDescent="0.25">
      <c r="A702" t="s">
        <v>7</v>
      </c>
      <c r="B702" t="s">
        <v>12</v>
      </c>
      <c r="C702" s="1">
        <v>43744</v>
      </c>
      <c r="D702">
        <v>2019</v>
      </c>
      <c r="E702">
        <v>10</v>
      </c>
      <c r="F702">
        <v>8.9391689299999992</v>
      </c>
      <c r="G702" t="s">
        <v>9</v>
      </c>
    </row>
    <row r="703" spans="1:7" x14ac:dyDescent="0.25">
      <c r="A703" t="s">
        <v>7</v>
      </c>
      <c r="B703" t="s">
        <v>12</v>
      </c>
      <c r="C703" s="1">
        <v>43753</v>
      </c>
      <c r="D703">
        <v>2019</v>
      </c>
      <c r="E703">
        <v>10</v>
      </c>
      <c r="F703">
        <v>0</v>
      </c>
      <c r="G703" t="s">
        <v>9</v>
      </c>
    </row>
    <row r="704" spans="1:7" x14ac:dyDescent="0.25">
      <c r="A704" t="s">
        <v>7</v>
      </c>
      <c r="B704" t="s">
        <v>12</v>
      </c>
      <c r="C704" s="1">
        <v>43761</v>
      </c>
      <c r="D704">
        <v>2019</v>
      </c>
      <c r="E704">
        <v>10</v>
      </c>
      <c r="F704">
        <v>8.4118776319999995</v>
      </c>
      <c r="G704" t="s">
        <v>9</v>
      </c>
    </row>
    <row r="705" spans="1:7" x14ac:dyDescent="0.25">
      <c r="A705" t="s">
        <v>7</v>
      </c>
      <c r="B705" t="s">
        <v>12</v>
      </c>
      <c r="C705" s="1">
        <v>43763</v>
      </c>
      <c r="D705">
        <v>2019</v>
      </c>
      <c r="E705">
        <v>10</v>
      </c>
      <c r="F705">
        <v>37.833240510000003</v>
      </c>
      <c r="G705" t="s">
        <v>9</v>
      </c>
    </row>
    <row r="706" spans="1:7" x14ac:dyDescent="0.25">
      <c r="A706" t="s">
        <v>7</v>
      </c>
      <c r="B706" t="s">
        <v>12</v>
      </c>
      <c r="C706" s="1">
        <v>43777</v>
      </c>
      <c r="D706">
        <v>2019</v>
      </c>
      <c r="E706">
        <v>11</v>
      </c>
      <c r="F706">
        <v>0</v>
      </c>
      <c r="G706" t="s">
        <v>9</v>
      </c>
    </row>
    <row r="707" spans="1:7" x14ac:dyDescent="0.25">
      <c r="A707" t="s">
        <v>7</v>
      </c>
      <c r="B707" t="s">
        <v>12</v>
      </c>
      <c r="C707" s="1">
        <v>43782</v>
      </c>
      <c r="D707">
        <v>2019</v>
      </c>
      <c r="E707">
        <v>11</v>
      </c>
      <c r="F707">
        <v>0</v>
      </c>
      <c r="G707" t="s">
        <v>9</v>
      </c>
    </row>
    <row r="708" spans="1:7" x14ac:dyDescent="0.25">
      <c r="A708" t="s">
        <v>7</v>
      </c>
      <c r="B708" t="s">
        <v>12</v>
      </c>
      <c r="C708" s="1">
        <v>43788</v>
      </c>
      <c r="D708">
        <v>2019</v>
      </c>
      <c r="E708">
        <v>11</v>
      </c>
      <c r="F708">
        <v>3.2887721060000001</v>
      </c>
      <c r="G708" t="s">
        <v>9</v>
      </c>
    </row>
    <row r="709" spans="1:7" x14ac:dyDescent="0.25">
      <c r="A709" t="s">
        <v>7</v>
      </c>
      <c r="B709" t="s">
        <v>12</v>
      </c>
      <c r="C709" s="1">
        <v>43801</v>
      </c>
      <c r="D709">
        <v>2019</v>
      </c>
      <c r="E709">
        <v>12</v>
      </c>
      <c r="F709">
        <v>15.790308</v>
      </c>
      <c r="G709" t="s">
        <v>9</v>
      </c>
    </row>
    <row r="710" spans="1:7" x14ac:dyDescent="0.25">
      <c r="A710" t="s">
        <v>7</v>
      </c>
      <c r="B710" t="s">
        <v>12</v>
      </c>
      <c r="C710" s="1">
        <v>43802</v>
      </c>
      <c r="D710">
        <v>2019</v>
      </c>
      <c r="E710">
        <v>12</v>
      </c>
      <c r="F710">
        <v>15.83106422</v>
      </c>
      <c r="G710" t="s">
        <v>9</v>
      </c>
    </row>
    <row r="711" spans="1:7" x14ac:dyDescent="0.25">
      <c r="A711" t="s">
        <v>7</v>
      </c>
      <c r="B711" t="s">
        <v>12</v>
      </c>
      <c r="C711" s="1">
        <v>43803</v>
      </c>
      <c r="D711">
        <v>2019</v>
      </c>
      <c r="E711">
        <v>12</v>
      </c>
      <c r="F711">
        <v>0</v>
      </c>
      <c r="G711" t="s">
        <v>9</v>
      </c>
    </row>
    <row r="712" spans="1:7" x14ac:dyDescent="0.25">
      <c r="A712" t="s">
        <v>7</v>
      </c>
      <c r="B712" t="s">
        <v>12</v>
      </c>
      <c r="C712" s="1">
        <v>43807</v>
      </c>
      <c r="D712">
        <v>2019</v>
      </c>
      <c r="E712">
        <v>12</v>
      </c>
      <c r="F712">
        <v>0</v>
      </c>
      <c r="G712" t="s">
        <v>9</v>
      </c>
    </row>
    <row r="713" spans="1:7" x14ac:dyDescent="0.25">
      <c r="A713" t="s">
        <v>7</v>
      </c>
      <c r="B713" t="s">
        <v>12</v>
      </c>
      <c r="C713" s="1">
        <v>43808</v>
      </c>
      <c r="D713">
        <v>2019</v>
      </c>
      <c r="E713">
        <v>12</v>
      </c>
      <c r="F713">
        <v>0</v>
      </c>
      <c r="G713" t="s">
        <v>9</v>
      </c>
    </row>
    <row r="714" spans="1:7" x14ac:dyDescent="0.25">
      <c r="A714" t="s">
        <v>7</v>
      </c>
      <c r="B714" t="s">
        <v>12</v>
      </c>
      <c r="C714" s="1">
        <v>43806</v>
      </c>
      <c r="D714">
        <v>2019</v>
      </c>
      <c r="E714">
        <v>12</v>
      </c>
      <c r="F714">
        <v>0</v>
      </c>
      <c r="G714" t="s">
        <v>9</v>
      </c>
    </row>
    <row r="715" spans="1:7" x14ac:dyDescent="0.25">
      <c r="A715" t="s">
        <v>7</v>
      </c>
      <c r="B715" t="s">
        <v>12</v>
      </c>
      <c r="C715" s="1">
        <v>43824</v>
      </c>
      <c r="D715">
        <v>2019</v>
      </c>
      <c r="E715">
        <v>12</v>
      </c>
      <c r="F715">
        <v>0</v>
      </c>
      <c r="G715" t="s">
        <v>9</v>
      </c>
    </row>
    <row r="716" spans="1:7" x14ac:dyDescent="0.25">
      <c r="A716" t="s">
        <v>7</v>
      </c>
      <c r="B716" t="s">
        <v>12</v>
      </c>
      <c r="C716" s="1">
        <v>43825</v>
      </c>
      <c r="D716">
        <v>2019</v>
      </c>
      <c r="E716">
        <v>12</v>
      </c>
      <c r="F716">
        <v>6.5805044170000002</v>
      </c>
      <c r="G716" t="s">
        <v>9</v>
      </c>
    </row>
    <row r="717" spans="1:7" x14ac:dyDescent="0.25">
      <c r="A717" t="s">
        <v>7</v>
      </c>
      <c r="B717" t="s">
        <v>12</v>
      </c>
      <c r="C717" s="1">
        <v>43827</v>
      </c>
      <c r="D717">
        <v>2019</v>
      </c>
      <c r="E717">
        <v>12</v>
      </c>
      <c r="F717">
        <v>0</v>
      </c>
      <c r="G717" t="s">
        <v>9</v>
      </c>
    </row>
    <row r="718" spans="1:7" x14ac:dyDescent="0.25">
      <c r="A718" t="s">
        <v>7</v>
      </c>
      <c r="B718" t="s">
        <v>8</v>
      </c>
      <c r="C718" s="1">
        <v>43469</v>
      </c>
      <c r="D718">
        <v>2019</v>
      </c>
      <c r="E718">
        <v>1</v>
      </c>
      <c r="F718">
        <v>0</v>
      </c>
      <c r="G718" t="s">
        <v>9</v>
      </c>
    </row>
    <row r="719" spans="1:7" x14ac:dyDescent="0.25">
      <c r="A719" t="s">
        <v>7</v>
      </c>
      <c r="B719" t="s">
        <v>8</v>
      </c>
      <c r="C719" s="1">
        <v>43475</v>
      </c>
      <c r="D719">
        <v>2019</v>
      </c>
      <c r="E719">
        <v>1</v>
      </c>
      <c r="F719">
        <v>0</v>
      </c>
      <c r="G719" t="s">
        <v>9</v>
      </c>
    </row>
    <row r="720" spans="1:7" x14ac:dyDescent="0.25">
      <c r="A720" t="s">
        <v>7</v>
      </c>
      <c r="B720" t="s">
        <v>8</v>
      </c>
      <c r="C720" s="1">
        <v>43477</v>
      </c>
      <c r="D720">
        <v>2019</v>
      </c>
      <c r="E720">
        <v>1</v>
      </c>
      <c r="F720">
        <v>0</v>
      </c>
      <c r="G720" t="s">
        <v>9</v>
      </c>
    </row>
    <row r="721" spans="1:7" x14ac:dyDescent="0.25">
      <c r="A721" t="s">
        <v>7</v>
      </c>
      <c r="B721" t="s">
        <v>8</v>
      </c>
      <c r="C721" s="1">
        <v>43478</v>
      </c>
      <c r="D721">
        <v>2019</v>
      </c>
      <c r="E721">
        <v>1</v>
      </c>
      <c r="F721">
        <v>0</v>
      </c>
      <c r="G721" t="s">
        <v>9</v>
      </c>
    </row>
    <row r="722" spans="1:7" x14ac:dyDescent="0.25">
      <c r="A722" t="s">
        <v>7</v>
      </c>
      <c r="B722" t="s">
        <v>8</v>
      </c>
      <c r="C722" s="1">
        <v>43479</v>
      </c>
      <c r="D722">
        <v>2019</v>
      </c>
      <c r="E722">
        <v>1</v>
      </c>
      <c r="F722">
        <v>0</v>
      </c>
      <c r="G722" t="s">
        <v>9</v>
      </c>
    </row>
    <row r="723" spans="1:7" x14ac:dyDescent="0.25">
      <c r="A723" t="s">
        <v>7</v>
      </c>
      <c r="B723" t="s">
        <v>8</v>
      </c>
      <c r="C723" s="1">
        <v>43480</v>
      </c>
      <c r="D723">
        <v>2019</v>
      </c>
      <c r="E723">
        <v>1</v>
      </c>
      <c r="F723">
        <v>0</v>
      </c>
      <c r="G723" t="s">
        <v>9</v>
      </c>
    </row>
    <row r="724" spans="1:7" x14ac:dyDescent="0.25">
      <c r="A724" t="s">
        <v>7</v>
      </c>
      <c r="B724" t="s">
        <v>8</v>
      </c>
      <c r="C724" s="1">
        <v>43491</v>
      </c>
      <c r="D724">
        <v>2019</v>
      </c>
      <c r="E724">
        <v>1</v>
      </c>
      <c r="F724">
        <v>0</v>
      </c>
      <c r="G724" t="s">
        <v>9</v>
      </c>
    </row>
    <row r="725" spans="1:7" x14ac:dyDescent="0.25">
      <c r="A725" t="s">
        <v>7</v>
      </c>
      <c r="B725" t="s">
        <v>8</v>
      </c>
      <c r="C725" s="1">
        <v>43492</v>
      </c>
      <c r="D725">
        <v>2019</v>
      </c>
      <c r="E725">
        <v>1</v>
      </c>
      <c r="F725">
        <v>0</v>
      </c>
      <c r="G725" t="s">
        <v>9</v>
      </c>
    </row>
    <row r="726" spans="1:7" x14ac:dyDescent="0.25">
      <c r="A726" t="s">
        <v>7</v>
      </c>
      <c r="B726" t="s">
        <v>8</v>
      </c>
      <c r="C726" s="1">
        <v>43495</v>
      </c>
      <c r="D726">
        <v>2019</v>
      </c>
      <c r="E726">
        <v>1</v>
      </c>
      <c r="F726">
        <v>0.34661178999999998</v>
      </c>
      <c r="G726" t="s">
        <v>9</v>
      </c>
    </row>
    <row r="727" spans="1:7" x14ac:dyDescent="0.25">
      <c r="A727" t="s">
        <v>7</v>
      </c>
      <c r="B727" t="s">
        <v>8</v>
      </c>
      <c r="C727" s="1">
        <v>43498</v>
      </c>
      <c r="D727">
        <v>2019</v>
      </c>
      <c r="E727">
        <v>2</v>
      </c>
      <c r="F727">
        <v>0</v>
      </c>
      <c r="G727" t="s">
        <v>9</v>
      </c>
    </row>
    <row r="728" spans="1:7" x14ac:dyDescent="0.25">
      <c r="A728" t="s">
        <v>7</v>
      </c>
      <c r="B728" t="s">
        <v>8</v>
      </c>
      <c r="C728" s="1">
        <v>43501</v>
      </c>
      <c r="D728">
        <v>2019</v>
      </c>
      <c r="E728">
        <v>2</v>
      </c>
      <c r="F728">
        <v>0</v>
      </c>
      <c r="G728" t="s">
        <v>9</v>
      </c>
    </row>
    <row r="729" spans="1:7" x14ac:dyDescent="0.25">
      <c r="A729" t="s">
        <v>7</v>
      </c>
      <c r="B729" t="s">
        <v>8</v>
      </c>
      <c r="C729" s="1">
        <v>43502</v>
      </c>
      <c r="D729">
        <v>2019</v>
      </c>
      <c r="E729">
        <v>2</v>
      </c>
      <c r="F729">
        <v>0</v>
      </c>
      <c r="G729" t="s">
        <v>9</v>
      </c>
    </row>
    <row r="730" spans="1:7" x14ac:dyDescent="0.25">
      <c r="A730" t="s">
        <v>7</v>
      </c>
      <c r="B730" t="s">
        <v>8</v>
      </c>
      <c r="C730" s="1">
        <v>43505</v>
      </c>
      <c r="D730">
        <v>2019</v>
      </c>
      <c r="E730">
        <v>2</v>
      </c>
      <c r="F730">
        <v>0</v>
      </c>
      <c r="G730" t="s">
        <v>9</v>
      </c>
    </row>
    <row r="731" spans="1:7" x14ac:dyDescent="0.25">
      <c r="A731" t="s">
        <v>7</v>
      </c>
      <c r="B731" t="s">
        <v>8</v>
      </c>
      <c r="C731" s="1">
        <v>43510</v>
      </c>
      <c r="D731">
        <v>2019</v>
      </c>
      <c r="E731">
        <v>2</v>
      </c>
      <c r="F731">
        <v>0</v>
      </c>
      <c r="G731" t="s">
        <v>9</v>
      </c>
    </row>
    <row r="732" spans="1:7" x14ac:dyDescent="0.25">
      <c r="A732" t="s">
        <v>7</v>
      </c>
      <c r="B732" t="s">
        <v>8</v>
      </c>
      <c r="C732" s="1">
        <v>43511</v>
      </c>
      <c r="D732">
        <v>2019</v>
      </c>
      <c r="E732">
        <v>2</v>
      </c>
      <c r="F732">
        <v>0</v>
      </c>
      <c r="G732" t="s">
        <v>9</v>
      </c>
    </row>
    <row r="733" spans="1:7" x14ac:dyDescent="0.25">
      <c r="A733" t="s">
        <v>7</v>
      </c>
      <c r="B733" t="s">
        <v>8</v>
      </c>
      <c r="C733" s="1">
        <v>43513</v>
      </c>
      <c r="D733">
        <v>2019</v>
      </c>
      <c r="E733">
        <v>2</v>
      </c>
      <c r="F733">
        <v>0</v>
      </c>
      <c r="G733" t="s">
        <v>9</v>
      </c>
    </row>
    <row r="734" spans="1:7" x14ac:dyDescent="0.25">
      <c r="A734" t="s">
        <v>7</v>
      </c>
      <c r="B734" t="s">
        <v>8</v>
      </c>
      <c r="C734" s="1">
        <v>43514</v>
      </c>
      <c r="D734">
        <v>2019</v>
      </c>
      <c r="E734">
        <v>2</v>
      </c>
      <c r="F734">
        <v>0</v>
      </c>
      <c r="G734" t="s">
        <v>9</v>
      </c>
    </row>
    <row r="735" spans="1:7" x14ac:dyDescent="0.25">
      <c r="A735" t="s">
        <v>7</v>
      </c>
      <c r="B735" t="s">
        <v>8</v>
      </c>
      <c r="C735" s="1">
        <v>43515</v>
      </c>
      <c r="D735">
        <v>2019</v>
      </c>
      <c r="E735">
        <v>2</v>
      </c>
      <c r="F735">
        <v>0</v>
      </c>
      <c r="G735" t="s">
        <v>9</v>
      </c>
    </row>
    <row r="736" spans="1:7" x14ac:dyDescent="0.25">
      <c r="A736" t="s">
        <v>7</v>
      </c>
      <c r="B736" t="s">
        <v>8</v>
      </c>
      <c r="C736" s="1">
        <v>43520</v>
      </c>
      <c r="D736">
        <v>2019</v>
      </c>
      <c r="E736">
        <v>2</v>
      </c>
      <c r="F736">
        <v>0</v>
      </c>
      <c r="G736" t="s">
        <v>9</v>
      </c>
    </row>
    <row r="737" spans="1:7" x14ac:dyDescent="0.25">
      <c r="A737" t="s">
        <v>7</v>
      </c>
      <c r="B737" t="s">
        <v>8</v>
      </c>
      <c r="C737" s="1">
        <v>43521</v>
      </c>
      <c r="D737">
        <v>2019</v>
      </c>
      <c r="E737">
        <v>2</v>
      </c>
      <c r="F737">
        <v>0</v>
      </c>
      <c r="G737" t="s">
        <v>9</v>
      </c>
    </row>
    <row r="738" spans="1:7" x14ac:dyDescent="0.25">
      <c r="A738" t="s">
        <v>7</v>
      </c>
      <c r="B738" t="s">
        <v>8</v>
      </c>
      <c r="C738" s="1">
        <v>43526</v>
      </c>
      <c r="D738">
        <v>2019</v>
      </c>
      <c r="E738">
        <v>3</v>
      </c>
      <c r="F738">
        <v>0</v>
      </c>
      <c r="G738" t="s">
        <v>9</v>
      </c>
    </row>
    <row r="739" spans="1:7" x14ac:dyDescent="0.25">
      <c r="A739" t="s">
        <v>7</v>
      </c>
      <c r="B739" t="s">
        <v>8</v>
      </c>
      <c r="C739" s="1">
        <v>43528</v>
      </c>
      <c r="D739">
        <v>2019</v>
      </c>
      <c r="E739">
        <v>3</v>
      </c>
      <c r="F739">
        <v>0</v>
      </c>
      <c r="G739" t="s">
        <v>9</v>
      </c>
    </row>
    <row r="740" spans="1:7" x14ac:dyDescent="0.25">
      <c r="A740" t="s">
        <v>7</v>
      </c>
      <c r="B740" t="s">
        <v>8</v>
      </c>
      <c r="C740" s="1">
        <v>43530</v>
      </c>
      <c r="D740">
        <v>2019</v>
      </c>
      <c r="E740">
        <v>3</v>
      </c>
      <c r="F740">
        <v>0</v>
      </c>
      <c r="G740" t="s">
        <v>9</v>
      </c>
    </row>
    <row r="741" spans="1:7" x14ac:dyDescent="0.25">
      <c r="A741" t="s">
        <v>7</v>
      </c>
      <c r="B741" t="s">
        <v>8</v>
      </c>
      <c r="C741" s="1">
        <v>43535</v>
      </c>
      <c r="D741">
        <v>2019</v>
      </c>
      <c r="E741">
        <v>3</v>
      </c>
      <c r="F741">
        <v>0</v>
      </c>
      <c r="G741" t="s">
        <v>9</v>
      </c>
    </row>
    <row r="742" spans="1:7" x14ac:dyDescent="0.25">
      <c r="A742" t="s">
        <v>7</v>
      </c>
      <c r="B742" t="s">
        <v>8</v>
      </c>
      <c r="C742" s="1">
        <v>43541</v>
      </c>
      <c r="D742">
        <v>2019</v>
      </c>
      <c r="E742">
        <v>3</v>
      </c>
      <c r="F742">
        <v>0</v>
      </c>
      <c r="G742" t="s">
        <v>9</v>
      </c>
    </row>
    <row r="743" spans="1:7" x14ac:dyDescent="0.25">
      <c r="A743" t="s">
        <v>7</v>
      </c>
      <c r="B743" t="s">
        <v>8</v>
      </c>
      <c r="C743" s="1">
        <v>43543</v>
      </c>
      <c r="D743">
        <v>2019</v>
      </c>
      <c r="E743">
        <v>3</v>
      </c>
      <c r="F743">
        <v>0</v>
      </c>
      <c r="G743" t="s">
        <v>9</v>
      </c>
    </row>
    <row r="744" spans="1:7" x14ac:dyDescent="0.25">
      <c r="A744" t="s">
        <v>7</v>
      </c>
      <c r="B744" t="s">
        <v>8</v>
      </c>
      <c r="C744" s="1">
        <v>43548</v>
      </c>
      <c r="D744">
        <v>2019</v>
      </c>
      <c r="E744">
        <v>3</v>
      </c>
      <c r="F744">
        <v>0</v>
      </c>
      <c r="G744" t="s">
        <v>9</v>
      </c>
    </row>
    <row r="745" spans="1:7" x14ac:dyDescent="0.25">
      <c r="A745" t="s">
        <v>7</v>
      </c>
      <c r="B745" t="s">
        <v>8</v>
      </c>
      <c r="C745" s="1">
        <v>43552</v>
      </c>
      <c r="D745">
        <v>2019</v>
      </c>
      <c r="E745">
        <v>3</v>
      </c>
      <c r="F745">
        <v>0</v>
      </c>
      <c r="G745" t="s">
        <v>9</v>
      </c>
    </row>
    <row r="746" spans="1:7" x14ac:dyDescent="0.25">
      <c r="A746" t="s">
        <v>7</v>
      </c>
      <c r="B746" t="s">
        <v>8</v>
      </c>
      <c r="C746" s="1">
        <v>43556</v>
      </c>
      <c r="D746">
        <v>2019</v>
      </c>
      <c r="E746">
        <v>4</v>
      </c>
      <c r="F746">
        <v>0</v>
      </c>
      <c r="G746" t="s">
        <v>9</v>
      </c>
    </row>
    <row r="747" spans="1:7" x14ac:dyDescent="0.25">
      <c r="A747" t="s">
        <v>7</v>
      </c>
      <c r="B747" t="s">
        <v>8</v>
      </c>
      <c r="C747" s="1">
        <v>43562</v>
      </c>
      <c r="D747">
        <v>2019</v>
      </c>
      <c r="E747">
        <v>4</v>
      </c>
      <c r="F747">
        <v>0</v>
      </c>
      <c r="G747" t="s">
        <v>9</v>
      </c>
    </row>
    <row r="748" spans="1:7" x14ac:dyDescent="0.25">
      <c r="A748" t="s">
        <v>7</v>
      </c>
      <c r="B748" t="s">
        <v>8</v>
      </c>
      <c r="C748" s="1">
        <v>43570</v>
      </c>
      <c r="D748">
        <v>2019</v>
      </c>
      <c r="E748">
        <v>4</v>
      </c>
      <c r="F748">
        <v>0</v>
      </c>
      <c r="G748" t="s">
        <v>9</v>
      </c>
    </row>
    <row r="749" spans="1:7" x14ac:dyDescent="0.25">
      <c r="A749" t="s">
        <v>7</v>
      </c>
      <c r="B749" t="s">
        <v>8</v>
      </c>
      <c r="C749" s="1">
        <v>43572</v>
      </c>
      <c r="D749">
        <v>2019</v>
      </c>
      <c r="E749">
        <v>4</v>
      </c>
      <c r="F749">
        <v>0</v>
      </c>
      <c r="G749" t="s">
        <v>9</v>
      </c>
    </row>
    <row r="750" spans="1:7" x14ac:dyDescent="0.25">
      <c r="A750" t="s">
        <v>7</v>
      </c>
      <c r="B750" t="s">
        <v>8</v>
      </c>
      <c r="C750" s="1">
        <v>43574</v>
      </c>
      <c r="D750">
        <v>2019</v>
      </c>
      <c r="E750">
        <v>4</v>
      </c>
      <c r="F750">
        <v>0</v>
      </c>
      <c r="G750" t="s">
        <v>9</v>
      </c>
    </row>
    <row r="751" spans="1:7" x14ac:dyDescent="0.25">
      <c r="A751" t="s">
        <v>7</v>
      </c>
      <c r="B751" t="s">
        <v>8</v>
      </c>
      <c r="C751" s="1">
        <v>43581</v>
      </c>
      <c r="D751">
        <v>2019</v>
      </c>
      <c r="E751">
        <v>4</v>
      </c>
      <c r="F751">
        <v>0</v>
      </c>
      <c r="G751" t="s">
        <v>9</v>
      </c>
    </row>
    <row r="752" spans="1:7" x14ac:dyDescent="0.25">
      <c r="A752" t="s">
        <v>7</v>
      </c>
      <c r="B752" t="s">
        <v>8</v>
      </c>
      <c r="C752" s="1">
        <v>43586</v>
      </c>
      <c r="D752">
        <v>2019</v>
      </c>
      <c r="E752">
        <v>5</v>
      </c>
      <c r="F752">
        <v>0</v>
      </c>
      <c r="G752" t="s">
        <v>9</v>
      </c>
    </row>
    <row r="753" spans="1:7" x14ac:dyDescent="0.25">
      <c r="A753" t="s">
        <v>7</v>
      </c>
      <c r="B753" t="s">
        <v>8</v>
      </c>
      <c r="C753" s="1">
        <v>43593</v>
      </c>
      <c r="D753">
        <v>2019</v>
      </c>
      <c r="E753">
        <v>5</v>
      </c>
      <c r="F753">
        <v>0</v>
      </c>
      <c r="G753" t="s">
        <v>9</v>
      </c>
    </row>
    <row r="754" spans="1:7" x14ac:dyDescent="0.25">
      <c r="A754" t="s">
        <v>7</v>
      </c>
      <c r="B754" t="s">
        <v>8</v>
      </c>
      <c r="C754" s="1">
        <v>43595</v>
      </c>
      <c r="D754">
        <v>2019</v>
      </c>
      <c r="E754">
        <v>5</v>
      </c>
      <c r="F754">
        <v>0</v>
      </c>
      <c r="G754" t="s">
        <v>9</v>
      </c>
    </row>
    <row r="755" spans="1:7" x14ac:dyDescent="0.25">
      <c r="A755" t="s">
        <v>7</v>
      </c>
      <c r="B755" t="s">
        <v>8</v>
      </c>
      <c r="C755" s="1">
        <v>43598</v>
      </c>
      <c r="D755">
        <v>2019</v>
      </c>
      <c r="E755">
        <v>5</v>
      </c>
      <c r="F755">
        <v>0</v>
      </c>
      <c r="G755" t="s">
        <v>9</v>
      </c>
    </row>
    <row r="756" spans="1:7" x14ac:dyDescent="0.25">
      <c r="A756" t="s">
        <v>7</v>
      </c>
      <c r="B756" t="s">
        <v>8</v>
      </c>
      <c r="C756" s="1">
        <v>43602</v>
      </c>
      <c r="D756">
        <v>2019</v>
      </c>
      <c r="E756">
        <v>5</v>
      </c>
      <c r="F756">
        <v>0</v>
      </c>
      <c r="G756" t="s">
        <v>9</v>
      </c>
    </row>
    <row r="757" spans="1:7" x14ac:dyDescent="0.25">
      <c r="A757" t="s">
        <v>7</v>
      </c>
      <c r="B757" t="s">
        <v>8</v>
      </c>
      <c r="C757" s="1">
        <v>43619</v>
      </c>
      <c r="D757">
        <v>2019</v>
      </c>
      <c r="E757">
        <v>6</v>
      </c>
      <c r="F757">
        <v>0</v>
      </c>
      <c r="G757" t="s">
        <v>9</v>
      </c>
    </row>
    <row r="758" spans="1:7" x14ac:dyDescent="0.25">
      <c r="A758" t="s">
        <v>7</v>
      </c>
      <c r="B758" t="s">
        <v>8</v>
      </c>
      <c r="C758" s="1">
        <v>43620</v>
      </c>
      <c r="D758">
        <v>2019</v>
      </c>
      <c r="E758">
        <v>6</v>
      </c>
      <c r="F758">
        <v>0</v>
      </c>
      <c r="G758" t="s">
        <v>9</v>
      </c>
    </row>
    <row r="759" spans="1:7" x14ac:dyDescent="0.25">
      <c r="A759" t="s">
        <v>7</v>
      </c>
      <c r="B759" t="s">
        <v>8</v>
      </c>
      <c r="C759" s="1">
        <v>43621</v>
      </c>
      <c r="D759">
        <v>2019</v>
      </c>
      <c r="E759">
        <v>6</v>
      </c>
      <c r="F759">
        <v>1.6104117000000001E-2</v>
      </c>
      <c r="G759" t="s">
        <v>9</v>
      </c>
    </row>
    <row r="760" spans="1:7" x14ac:dyDescent="0.25">
      <c r="A760" t="s">
        <v>7</v>
      </c>
      <c r="B760" t="s">
        <v>8</v>
      </c>
      <c r="C760" s="1">
        <v>43624</v>
      </c>
      <c r="D760">
        <v>2019</v>
      </c>
      <c r="E760">
        <v>6</v>
      </c>
      <c r="F760">
        <v>0</v>
      </c>
      <c r="G760" t="s">
        <v>9</v>
      </c>
    </row>
    <row r="761" spans="1:7" x14ac:dyDescent="0.25">
      <c r="A761" t="s">
        <v>7</v>
      </c>
      <c r="B761" t="s">
        <v>8</v>
      </c>
      <c r="C761" s="1">
        <v>43627</v>
      </c>
      <c r="D761">
        <v>2019</v>
      </c>
      <c r="E761">
        <v>6</v>
      </c>
      <c r="F761">
        <v>0</v>
      </c>
      <c r="G761" t="s">
        <v>9</v>
      </c>
    </row>
    <row r="762" spans="1:7" x14ac:dyDescent="0.25">
      <c r="A762" t="s">
        <v>7</v>
      </c>
      <c r="B762" t="s">
        <v>8</v>
      </c>
      <c r="C762" s="1">
        <v>43633</v>
      </c>
      <c r="D762">
        <v>2019</v>
      </c>
      <c r="E762">
        <v>6</v>
      </c>
      <c r="F762">
        <v>0</v>
      </c>
      <c r="G762" t="s">
        <v>9</v>
      </c>
    </row>
    <row r="763" spans="1:7" x14ac:dyDescent="0.25">
      <c r="A763" t="s">
        <v>7</v>
      </c>
      <c r="B763" t="s">
        <v>8</v>
      </c>
      <c r="C763" s="1">
        <v>43636</v>
      </c>
      <c r="D763">
        <v>2019</v>
      </c>
      <c r="E763">
        <v>6</v>
      </c>
      <c r="F763">
        <v>0</v>
      </c>
      <c r="G763" t="s">
        <v>9</v>
      </c>
    </row>
    <row r="764" spans="1:7" x14ac:dyDescent="0.25">
      <c r="A764" t="s">
        <v>7</v>
      </c>
      <c r="B764" t="s">
        <v>8</v>
      </c>
      <c r="C764" s="1">
        <v>43648</v>
      </c>
      <c r="D764">
        <v>2019</v>
      </c>
      <c r="E764">
        <v>7</v>
      </c>
      <c r="F764">
        <v>0</v>
      </c>
      <c r="G764" t="s">
        <v>9</v>
      </c>
    </row>
    <row r="765" spans="1:7" x14ac:dyDescent="0.25">
      <c r="A765" t="s">
        <v>7</v>
      </c>
      <c r="B765" t="s">
        <v>8</v>
      </c>
      <c r="C765" s="1">
        <v>43650</v>
      </c>
      <c r="D765">
        <v>2019</v>
      </c>
      <c r="E765">
        <v>7</v>
      </c>
      <c r="F765">
        <v>0</v>
      </c>
      <c r="G765" t="s">
        <v>9</v>
      </c>
    </row>
    <row r="766" spans="1:7" x14ac:dyDescent="0.25">
      <c r="A766" t="s">
        <v>7</v>
      </c>
      <c r="B766" t="s">
        <v>8</v>
      </c>
      <c r="C766" s="1">
        <v>43669</v>
      </c>
      <c r="D766">
        <v>2019</v>
      </c>
      <c r="E766">
        <v>7</v>
      </c>
      <c r="F766">
        <v>0.48561260299999998</v>
      </c>
      <c r="G766" t="s">
        <v>9</v>
      </c>
    </row>
    <row r="767" spans="1:7" x14ac:dyDescent="0.25">
      <c r="A767" t="s">
        <v>7</v>
      </c>
      <c r="B767" t="s">
        <v>8</v>
      </c>
      <c r="C767" s="1">
        <v>43670</v>
      </c>
      <c r="D767">
        <v>2019</v>
      </c>
      <c r="E767">
        <v>7</v>
      </c>
      <c r="F767">
        <v>0</v>
      </c>
      <c r="G767" t="s">
        <v>9</v>
      </c>
    </row>
    <row r="768" spans="1:7" x14ac:dyDescent="0.25">
      <c r="A768" t="s">
        <v>7</v>
      </c>
      <c r="B768" t="s">
        <v>8</v>
      </c>
      <c r="C768" s="1">
        <v>43672</v>
      </c>
      <c r="D768">
        <v>2019</v>
      </c>
      <c r="E768">
        <v>7</v>
      </c>
      <c r="F768">
        <v>4.6021041010000001</v>
      </c>
      <c r="G768" t="s">
        <v>9</v>
      </c>
    </row>
    <row r="769" spans="1:7" x14ac:dyDescent="0.25">
      <c r="A769" t="s">
        <v>7</v>
      </c>
      <c r="B769" t="s">
        <v>8</v>
      </c>
      <c r="C769" s="1">
        <v>43679</v>
      </c>
      <c r="D769">
        <v>2019</v>
      </c>
      <c r="E769">
        <v>8</v>
      </c>
      <c r="F769">
        <v>0</v>
      </c>
      <c r="G769" t="s">
        <v>9</v>
      </c>
    </row>
    <row r="770" spans="1:7" x14ac:dyDescent="0.25">
      <c r="A770" t="s">
        <v>7</v>
      </c>
      <c r="B770" t="s">
        <v>8</v>
      </c>
      <c r="C770" s="1">
        <v>43693</v>
      </c>
      <c r="D770">
        <v>2019</v>
      </c>
      <c r="E770">
        <v>8</v>
      </c>
      <c r="F770">
        <v>0</v>
      </c>
      <c r="G770" t="s">
        <v>9</v>
      </c>
    </row>
    <row r="771" spans="1:7" x14ac:dyDescent="0.25">
      <c r="A771" t="s">
        <v>7</v>
      </c>
      <c r="B771" t="s">
        <v>8</v>
      </c>
      <c r="C771" s="1">
        <v>43698</v>
      </c>
      <c r="D771">
        <v>2019</v>
      </c>
      <c r="E771">
        <v>8</v>
      </c>
      <c r="F771">
        <v>7.8682832759999997</v>
      </c>
      <c r="G771" t="s">
        <v>9</v>
      </c>
    </row>
    <row r="772" spans="1:7" x14ac:dyDescent="0.25">
      <c r="A772" t="s">
        <v>7</v>
      </c>
      <c r="B772" t="s">
        <v>8</v>
      </c>
      <c r="C772" s="1">
        <v>43699</v>
      </c>
      <c r="D772">
        <v>2019</v>
      </c>
      <c r="E772">
        <v>8</v>
      </c>
      <c r="F772">
        <v>35.027809009999999</v>
      </c>
      <c r="G772" t="s">
        <v>9</v>
      </c>
    </row>
    <row r="773" spans="1:7" x14ac:dyDescent="0.25">
      <c r="A773" t="s">
        <v>7</v>
      </c>
      <c r="B773" t="s">
        <v>8</v>
      </c>
      <c r="C773" s="1">
        <v>43705</v>
      </c>
      <c r="D773">
        <v>2019</v>
      </c>
      <c r="E773">
        <v>8</v>
      </c>
      <c r="F773">
        <v>0</v>
      </c>
      <c r="G773" t="s">
        <v>9</v>
      </c>
    </row>
    <row r="774" spans="1:7" x14ac:dyDescent="0.25">
      <c r="A774" t="s">
        <v>7</v>
      </c>
      <c r="B774" t="s">
        <v>8</v>
      </c>
      <c r="C774" s="1">
        <v>43718</v>
      </c>
      <c r="D774">
        <v>2019</v>
      </c>
      <c r="E774">
        <v>9</v>
      </c>
      <c r="F774">
        <v>0</v>
      </c>
      <c r="G774" t="s">
        <v>9</v>
      </c>
    </row>
    <row r="775" spans="1:7" x14ac:dyDescent="0.25">
      <c r="A775" t="s">
        <v>7</v>
      </c>
      <c r="B775" t="s">
        <v>8</v>
      </c>
      <c r="C775" s="1">
        <v>43733</v>
      </c>
      <c r="D775">
        <v>2019</v>
      </c>
      <c r="E775">
        <v>9</v>
      </c>
      <c r="F775">
        <v>1.0153136270000001</v>
      </c>
      <c r="G775" t="s">
        <v>9</v>
      </c>
    </row>
    <row r="776" spans="1:7" x14ac:dyDescent="0.25">
      <c r="A776" t="s">
        <v>7</v>
      </c>
      <c r="B776" t="s">
        <v>8</v>
      </c>
      <c r="C776" s="1">
        <v>43735</v>
      </c>
      <c r="D776">
        <v>2019</v>
      </c>
      <c r="E776">
        <v>9</v>
      </c>
      <c r="F776">
        <v>0</v>
      </c>
      <c r="G776" t="s">
        <v>9</v>
      </c>
    </row>
    <row r="777" spans="1:7" x14ac:dyDescent="0.25">
      <c r="A777" t="s">
        <v>7</v>
      </c>
      <c r="B777" t="s">
        <v>8</v>
      </c>
      <c r="C777" s="1">
        <v>43730</v>
      </c>
      <c r="D777">
        <v>2019</v>
      </c>
      <c r="E777">
        <v>9</v>
      </c>
      <c r="F777">
        <v>1.5625485809999999</v>
      </c>
      <c r="G777" t="s">
        <v>9</v>
      </c>
    </row>
    <row r="778" spans="1:7" x14ac:dyDescent="0.25">
      <c r="A778" t="s">
        <v>7</v>
      </c>
      <c r="B778" t="s">
        <v>8</v>
      </c>
      <c r="C778" s="1">
        <v>43739</v>
      </c>
      <c r="D778">
        <v>2019</v>
      </c>
      <c r="E778">
        <v>10</v>
      </c>
      <c r="F778">
        <v>0</v>
      </c>
      <c r="G778" t="s">
        <v>9</v>
      </c>
    </row>
    <row r="779" spans="1:7" x14ac:dyDescent="0.25">
      <c r="A779" t="s">
        <v>7</v>
      </c>
      <c r="B779" t="s">
        <v>8</v>
      </c>
      <c r="C779" s="1">
        <v>43749</v>
      </c>
      <c r="D779">
        <v>2019</v>
      </c>
      <c r="E779">
        <v>10</v>
      </c>
      <c r="F779">
        <v>0</v>
      </c>
      <c r="G779" t="s">
        <v>9</v>
      </c>
    </row>
    <row r="780" spans="1:7" x14ac:dyDescent="0.25">
      <c r="A780" t="s">
        <v>7</v>
      </c>
      <c r="B780" t="s">
        <v>8</v>
      </c>
      <c r="C780" s="1">
        <v>43751</v>
      </c>
      <c r="D780">
        <v>2019</v>
      </c>
      <c r="E780">
        <v>10</v>
      </c>
      <c r="F780">
        <v>0.14810227500000001</v>
      </c>
      <c r="G780" t="s">
        <v>9</v>
      </c>
    </row>
    <row r="781" spans="1:7" x14ac:dyDescent="0.25">
      <c r="A781" t="s">
        <v>7</v>
      </c>
      <c r="B781" t="s">
        <v>8</v>
      </c>
      <c r="C781" s="1">
        <v>43753</v>
      </c>
      <c r="D781">
        <v>2019</v>
      </c>
      <c r="E781">
        <v>10</v>
      </c>
      <c r="F781">
        <v>10.51373066</v>
      </c>
      <c r="G781" t="s">
        <v>9</v>
      </c>
    </row>
    <row r="782" spans="1:7" x14ac:dyDescent="0.25">
      <c r="A782" t="s">
        <v>7</v>
      </c>
      <c r="B782" t="s">
        <v>8</v>
      </c>
      <c r="C782" s="1">
        <v>43756</v>
      </c>
      <c r="D782">
        <v>2019</v>
      </c>
      <c r="E782">
        <v>10</v>
      </c>
      <c r="F782">
        <v>5.4029557649999997</v>
      </c>
      <c r="G782" t="s">
        <v>9</v>
      </c>
    </row>
    <row r="783" spans="1:7" x14ac:dyDescent="0.25">
      <c r="A783" t="s">
        <v>7</v>
      </c>
      <c r="B783" t="s">
        <v>8</v>
      </c>
      <c r="C783" s="1">
        <v>43757</v>
      </c>
      <c r="D783">
        <v>2019</v>
      </c>
      <c r="E783">
        <v>10</v>
      </c>
      <c r="F783">
        <v>1.120902903</v>
      </c>
      <c r="G783" t="s">
        <v>9</v>
      </c>
    </row>
    <row r="784" spans="1:7" x14ac:dyDescent="0.25">
      <c r="A784" t="s">
        <v>7</v>
      </c>
      <c r="B784" t="s">
        <v>8</v>
      </c>
      <c r="C784" s="1">
        <v>43765</v>
      </c>
      <c r="D784">
        <v>2019</v>
      </c>
      <c r="E784">
        <v>10</v>
      </c>
      <c r="F784">
        <v>0</v>
      </c>
      <c r="G784" t="s">
        <v>9</v>
      </c>
    </row>
    <row r="785" spans="1:7" x14ac:dyDescent="0.25">
      <c r="A785" t="s">
        <v>7</v>
      </c>
      <c r="B785" t="s">
        <v>8</v>
      </c>
      <c r="C785" s="1">
        <v>43786</v>
      </c>
      <c r="D785">
        <v>2019</v>
      </c>
      <c r="E785">
        <v>11</v>
      </c>
      <c r="F785">
        <v>6.4641003489999997</v>
      </c>
      <c r="G785" t="s">
        <v>9</v>
      </c>
    </row>
    <row r="786" spans="1:7" x14ac:dyDescent="0.25">
      <c r="A786" t="s">
        <v>7</v>
      </c>
      <c r="B786" t="s">
        <v>8</v>
      </c>
      <c r="C786" s="1">
        <v>43787</v>
      </c>
      <c r="D786">
        <v>2019</v>
      </c>
      <c r="E786">
        <v>11</v>
      </c>
      <c r="F786">
        <v>1.5827143770000001</v>
      </c>
      <c r="G786" t="s">
        <v>9</v>
      </c>
    </row>
    <row r="787" spans="1:7" x14ac:dyDescent="0.25">
      <c r="A787" t="s">
        <v>7</v>
      </c>
      <c r="B787" t="s">
        <v>8</v>
      </c>
      <c r="C787" s="1">
        <v>43791</v>
      </c>
      <c r="D787">
        <v>2019</v>
      </c>
      <c r="E787">
        <v>11</v>
      </c>
      <c r="F787">
        <v>17.735902169999999</v>
      </c>
      <c r="G787" t="s">
        <v>9</v>
      </c>
    </row>
    <row r="788" spans="1:7" x14ac:dyDescent="0.25">
      <c r="A788" t="s">
        <v>7</v>
      </c>
      <c r="B788" t="s">
        <v>8</v>
      </c>
      <c r="C788" s="1">
        <v>43800</v>
      </c>
      <c r="D788">
        <v>2019</v>
      </c>
      <c r="E788">
        <v>12</v>
      </c>
      <c r="F788">
        <v>119.018776</v>
      </c>
      <c r="G788" t="s">
        <v>9</v>
      </c>
    </row>
    <row r="789" spans="1:7" x14ac:dyDescent="0.25">
      <c r="A789" t="s">
        <v>7</v>
      </c>
      <c r="B789" t="s">
        <v>8</v>
      </c>
      <c r="C789" s="1">
        <v>43804</v>
      </c>
      <c r="D789">
        <v>2019</v>
      </c>
      <c r="E789">
        <v>12</v>
      </c>
      <c r="F789">
        <v>0.94264648500000003</v>
      </c>
      <c r="G789" t="s">
        <v>9</v>
      </c>
    </row>
    <row r="790" spans="1:7" x14ac:dyDescent="0.25">
      <c r="A790" t="s">
        <v>7</v>
      </c>
      <c r="B790" t="s">
        <v>8</v>
      </c>
      <c r="C790" s="1">
        <v>43815</v>
      </c>
      <c r="D790">
        <v>2019</v>
      </c>
      <c r="E790">
        <v>12</v>
      </c>
      <c r="F790">
        <v>0</v>
      </c>
      <c r="G790" t="s">
        <v>9</v>
      </c>
    </row>
    <row r="791" spans="1:7" x14ac:dyDescent="0.25">
      <c r="A791" t="s">
        <v>7</v>
      </c>
      <c r="B791" t="s">
        <v>8</v>
      </c>
      <c r="C791" s="1">
        <v>43817</v>
      </c>
      <c r="D791">
        <v>2019</v>
      </c>
      <c r="E791">
        <v>12</v>
      </c>
      <c r="F791">
        <v>0.56988637900000005</v>
      </c>
      <c r="G791" t="s">
        <v>9</v>
      </c>
    </row>
    <row r="792" spans="1:7" x14ac:dyDescent="0.25">
      <c r="A792" t="s">
        <v>7</v>
      </c>
      <c r="B792" t="s">
        <v>8</v>
      </c>
      <c r="C792" s="1">
        <v>43824</v>
      </c>
      <c r="D792">
        <v>2019</v>
      </c>
      <c r="E792">
        <v>12</v>
      </c>
      <c r="F792">
        <v>12.680037799999999</v>
      </c>
      <c r="G792" t="s">
        <v>9</v>
      </c>
    </row>
    <row r="793" spans="1:7" x14ac:dyDescent="0.25">
      <c r="A793" t="s">
        <v>7</v>
      </c>
      <c r="B793" t="s">
        <v>8</v>
      </c>
      <c r="C793" s="1">
        <v>43500</v>
      </c>
      <c r="D793">
        <v>2019</v>
      </c>
      <c r="E793">
        <v>2</v>
      </c>
      <c r="F793">
        <v>0</v>
      </c>
      <c r="G793" t="s">
        <v>9</v>
      </c>
    </row>
    <row r="794" spans="1:7" x14ac:dyDescent="0.25">
      <c r="A794" t="s">
        <v>7</v>
      </c>
      <c r="B794" t="s">
        <v>8</v>
      </c>
      <c r="C794" s="1">
        <v>43686</v>
      </c>
      <c r="D794">
        <v>2019</v>
      </c>
      <c r="E794">
        <v>8</v>
      </c>
      <c r="F794">
        <v>0</v>
      </c>
      <c r="G794" t="s">
        <v>9</v>
      </c>
    </row>
    <row r="795" spans="1:7" x14ac:dyDescent="0.25">
      <c r="A795" t="s">
        <v>7</v>
      </c>
      <c r="B795" t="s">
        <v>8</v>
      </c>
      <c r="C795" s="1">
        <v>43707</v>
      </c>
      <c r="D795">
        <v>2019</v>
      </c>
      <c r="E795">
        <v>8</v>
      </c>
      <c r="F795">
        <v>2.9445624229999998</v>
      </c>
      <c r="G795" t="s">
        <v>9</v>
      </c>
    </row>
    <row r="796" spans="1:7" x14ac:dyDescent="0.25">
      <c r="A796" t="s">
        <v>7</v>
      </c>
      <c r="B796" t="s">
        <v>10</v>
      </c>
      <c r="C796" s="1">
        <v>43468</v>
      </c>
      <c r="D796">
        <v>2019</v>
      </c>
      <c r="E796">
        <v>1</v>
      </c>
      <c r="F796">
        <v>0</v>
      </c>
      <c r="G796" t="s">
        <v>9</v>
      </c>
    </row>
    <row r="797" spans="1:7" x14ac:dyDescent="0.25">
      <c r="A797" t="s">
        <v>7</v>
      </c>
      <c r="B797" t="s">
        <v>10</v>
      </c>
      <c r="C797" s="1">
        <v>43473</v>
      </c>
      <c r="D797">
        <v>2019</v>
      </c>
      <c r="E797">
        <v>1</v>
      </c>
      <c r="F797">
        <v>0</v>
      </c>
      <c r="G797" t="s">
        <v>9</v>
      </c>
    </row>
    <row r="798" spans="1:7" x14ac:dyDescent="0.25">
      <c r="A798" t="s">
        <v>7</v>
      </c>
      <c r="B798" t="s">
        <v>10</v>
      </c>
      <c r="C798" s="1">
        <v>43475</v>
      </c>
      <c r="D798">
        <v>2019</v>
      </c>
      <c r="E798">
        <v>1</v>
      </c>
      <c r="F798">
        <v>0</v>
      </c>
      <c r="G798" t="s">
        <v>9</v>
      </c>
    </row>
    <row r="799" spans="1:7" x14ac:dyDescent="0.25">
      <c r="A799" t="s">
        <v>7</v>
      </c>
      <c r="B799" t="s">
        <v>10</v>
      </c>
      <c r="C799" s="1">
        <v>43479</v>
      </c>
      <c r="D799">
        <v>2019</v>
      </c>
      <c r="E799">
        <v>1</v>
      </c>
      <c r="F799">
        <v>0</v>
      </c>
      <c r="G799" t="s">
        <v>9</v>
      </c>
    </row>
    <row r="800" spans="1:7" x14ac:dyDescent="0.25">
      <c r="A800" t="s">
        <v>7</v>
      </c>
      <c r="B800" t="s">
        <v>10</v>
      </c>
      <c r="C800" s="1">
        <v>43493</v>
      </c>
      <c r="D800">
        <v>2019</v>
      </c>
      <c r="E800">
        <v>1</v>
      </c>
      <c r="F800">
        <v>4.8676037790000004</v>
      </c>
      <c r="G800" t="s">
        <v>9</v>
      </c>
    </row>
    <row r="801" spans="1:7" x14ac:dyDescent="0.25">
      <c r="A801" t="s">
        <v>7</v>
      </c>
      <c r="B801" t="s">
        <v>10</v>
      </c>
      <c r="C801" s="1">
        <v>43500</v>
      </c>
      <c r="D801">
        <v>2019</v>
      </c>
      <c r="E801">
        <v>2</v>
      </c>
      <c r="F801">
        <v>0</v>
      </c>
      <c r="G801" t="s">
        <v>9</v>
      </c>
    </row>
    <row r="802" spans="1:7" x14ac:dyDescent="0.25">
      <c r="A802" t="s">
        <v>7</v>
      </c>
      <c r="B802" t="s">
        <v>10</v>
      </c>
      <c r="C802" s="1">
        <v>43507</v>
      </c>
      <c r="D802">
        <v>2019</v>
      </c>
      <c r="E802">
        <v>2</v>
      </c>
      <c r="F802">
        <v>0</v>
      </c>
      <c r="G802" t="s">
        <v>9</v>
      </c>
    </row>
    <row r="803" spans="1:7" x14ac:dyDescent="0.25">
      <c r="A803" t="s">
        <v>7</v>
      </c>
      <c r="B803" t="s">
        <v>10</v>
      </c>
      <c r="C803" s="1">
        <v>43509</v>
      </c>
      <c r="D803">
        <v>2019</v>
      </c>
      <c r="E803">
        <v>2</v>
      </c>
      <c r="F803">
        <v>0</v>
      </c>
      <c r="G803" t="s">
        <v>9</v>
      </c>
    </row>
    <row r="804" spans="1:7" x14ac:dyDescent="0.25">
      <c r="A804" t="s">
        <v>7</v>
      </c>
      <c r="B804" t="s">
        <v>10</v>
      </c>
      <c r="C804" s="1">
        <v>43516</v>
      </c>
      <c r="D804">
        <v>2019</v>
      </c>
      <c r="E804">
        <v>2</v>
      </c>
      <c r="F804">
        <v>0</v>
      </c>
      <c r="G804" t="s">
        <v>9</v>
      </c>
    </row>
    <row r="805" spans="1:7" x14ac:dyDescent="0.25">
      <c r="A805" t="s">
        <v>7</v>
      </c>
      <c r="B805" t="s">
        <v>10</v>
      </c>
      <c r="C805" s="1">
        <v>43523</v>
      </c>
      <c r="D805">
        <v>2019</v>
      </c>
      <c r="E805">
        <v>2</v>
      </c>
      <c r="F805">
        <v>0</v>
      </c>
      <c r="G805" t="s">
        <v>9</v>
      </c>
    </row>
    <row r="806" spans="1:7" x14ac:dyDescent="0.25">
      <c r="A806" t="s">
        <v>7</v>
      </c>
      <c r="B806" t="s">
        <v>10</v>
      </c>
      <c r="C806" s="1">
        <v>43525</v>
      </c>
      <c r="D806">
        <v>2019</v>
      </c>
      <c r="E806">
        <v>3</v>
      </c>
      <c r="F806">
        <v>2.1286721229999999</v>
      </c>
      <c r="G806" t="s">
        <v>9</v>
      </c>
    </row>
    <row r="807" spans="1:7" x14ac:dyDescent="0.25">
      <c r="A807" t="s">
        <v>7</v>
      </c>
      <c r="B807" t="s">
        <v>10</v>
      </c>
      <c r="C807" s="1">
        <v>43526</v>
      </c>
      <c r="D807">
        <v>2019</v>
      </c>
      <c r="E807">
        <v>3</v>
      </c>
      <c r="F807">
        <v>5.8954892159999996</v>
      </c>
      <c r="G807" t="s">
        <v>9</v>
      </c>
    </row>
    <row r="808" spans="1:7" x14ac:dyDescent="0.25">
      <c r="A808" t="s">
        <v>7</v>
      </c>
      <c r="B808" t="s">
        <v>10</v>
      </c>
      <c r="C808" s="1">
        <v>43535</v>
      </c>
      <c r="D808">
        <v>2019</v>
      </c>
      <c r="E808">
        <v>3</v>
      </c>
      <c r="F808">
        <v>0</v>
      </c>
      <c r="G808" t="s">
        <v>9</v>
      </c>
    </row>
    <row r="809" spans="1:7" x14ac:dyDescent="0.25">
      <c r="A809" t="s">
        <v>7</v>
      </c>
      <c r="B809" t="s">
        <v>10</v>
      </c>
      <c r="C809" s="1">
        <v>43538</v>
      </c>
      <c r="D809">
        <v>2019</v>
      </c>
      <c r="E809">
        <v>3</v>
      </c>
      <c r="F809">
        <v>0</v>
      </c>
      <c r="G809" t="s">
        <v>9</v>
      </c>
    </row>
    <row r="810" spans="1:7" x14ac:dyDescent="0.25">
      <c r="A810" t="s">
        <v>7</v>
      </c>
      <c r="B810" t="s">
        <v>10</v>
      </c>
      <c r="C810" s="1">
        <v>43541</v>
      </c>
      <c r="D810">
        <v>2019</v>
      </c>
      <c r="E810">
        <v>3</v>
      </c>
      <c r="F810">
        <v>0</v>
      </c>
      <c r="G810" t="s">
        <v>9</v>
      </c>
    </row>
    <row r="811" spans="1:7" x14ac:dyDescent="0.25">
      <c r="A811" t="s">
        <v>7</v>
      </c>
      <c r="B811" t="s">
        <v>10</v>
      </c>
      <c r="C811" s="1">
        <v>43542</v>
      </c>
      <c r="D811">
        <v>2019</v>
      </c>
      <c r="E811">
        <v>3</v>
      </c>
      <c r="F811">
        <v>0</v>
      </c>
      <c r="G811" t="s">
        <v>9</v>
      </c>
    </row>
    <row r="812" spans="1:7" x14ac:dyDescent="0.25">
      <c r="A812" t="s">
        <v>7</v>
      </c>
      <c r="B812" t="s">
        <v>10</v>
      </c>
      <c r="C812" s="1">
        <v>43546</v>
      </c>
      <c r="D812">
        <v>2019</v>
      </c>
      <c r="E812">
        <v>3</v>
      </c>
      <c r="F812">
        <v>0</v>
      </c>
      <c r="G812" t="s">
        <v>9</v>
      </c>
    </row>
    <row r="813" spans="1:7" x14ac:dyDescent="0.25">
      <c r="A813" t="s">
        <v>7</v>
      </c>
      <c r="B813" t="s">
        <v>10</v>
      </c>
      <c r="C813" s="1">
        <v>43547</v>
      </c>
      <c r="D813">
        <v>2019</v>
      </c>
      <c r="E813">
        <v>3</v>
      </c>
      <c r="F813">
        <v>0</v>
      </c>
      <c r="G813" t="s">
        <v>9</v>
      </c>
    </row>
    <row r="814" spans="1:7" x14ac:dyDescent="0.25">
      <c r="A814" t="s">
        <v>7</v>
      </c>
      <c r="B814" t="s">
        <v>10</v>
      </c>
      <c r="C814" s="1">
        <v>43548</v>
      </c>
      <c r="D814">
        <v>2019</v>
      </c>
      <c r="E814">
        <v>3</v>
      </c>
      <c r="F814">
        <v>0</v>
      </c>
      <c r="G814" t="s">
        <v>9</v>
      </c>
    </row>
    <row r="815" spans="1:7" x14ac:dyDescent="0.25">
      <c r="A815" t="s">
        <v>7</v>
      </c>
      <c r="B815" t="s">
        <v>10</v>
      </c>
      <c r="C815" s="1">
        <v>43550</v>
      </c>
      <c r="D815">
        <v>2019</v>
      </c>
      <c r="E815">
        <v>3</v>
      </c>
      <c r="F815">
        <v>0</v>
      </c>
      <c r="G815" t="s">
        <v>9</v>
      </c>
    </row>
    <row r="816" spans="1:7" x14ac:dyDescent="0.25">
      <c r="A816" t="s">
        <v>7</v>
      </c>
      <c r="B816" t="s">
        <v>10</v>
      </c>
      <c r="C816" s="1">
        <v>43552</v>
      </c>
      <c r="D816">
        <v>2019</v>
      </c>
      <c r="E816">
        <v>3</v>
      </c>
      <c r="F816">
        <v>0</v>
      </c>
      <c r="G816" t="s">
        <v>9</v>
      </c>
    </row>
    <row r="817" spans="1:7" x14ac:dyDescent="0.25">
      <c r="A817" t="s">
        <v>7</v>
      </c>
      <c r="B817" t="s">
        <v>10</v>
      </c>
      <c r="C817" s="1">
        <v>43555</v>
      </c>
      <c r="D817">
        <v>2019</v>
      </c>
      <c r="E817">
        <v>3</v>
      </c>
      <c r="F817">
        <v>0</v>
      </c>
      <c r="G817" t="s">
        <v>9</v>
      </c>
    </row>
    <row r="818" spans="1:7" x14ac:dyDescent="0.25">
      <c r="A818" t="s">
        <v>7</v>
      </c>
      <c r="B818" t="s">
        <v>10</v>
      </c>
      <c r="C818" s="1">
        <v>43561</v>
      </c>
      <c r="D818">
        <v>2019</v>
      </c>
      <c r="E818">
        <v>4</v>
      </c>
      <c r="F818">
        <v>0</v>
      </c>
      <c r="G818" t="s">
        <v>9</v>
      </c>
    </row>
    <row r="819" spans="1:7" x14ac:dyDescent="0.25">
      <c r="A819" t="s">
        <v>7</v>
      </c>
      <c r="B819" t="s">
        <v>10</v>
      </c>
      <c r="C819" s="1">
        <v>43568</v>
      </c>
      <c r="D819">
        <v>2019</v>
      </c>
      <c r="E819">
        <v>4</v>
      </c>
      <c r="F819">
        <v>4.4513115880000003</v>
      </c>
      <c r="G819" t="s">
        <v>9</v>
      </c>
    </row>
    <row r="820" spans="1:7" x14ac:dyDescent="0.25">
      <c r="A820" t="s">
        <v>7</v>
      </c>
      <c r="B820" t="s">
        <v>10</v>
      </c>
      <c r="C820" s="1">
        <v>43573</v>
      </c>
      <c r="D820">
        <v>2019</v>
      </c>
      <c r="E820">
        <v>4</v>
      </c>
      <c r="F820">
        <v>0</v>
      </c>
      <c r="G820" t="s">
        <v>9</v>
      </c>
    </row>
    <row r="821" spans="1:7" x14ac:dyDescent="0.25">
      <c r="A821" t="s">
        <v>7</v>
      </c>
      <c r="B821" t="s">
        <v>10</v>
      </c>
      <c r="C821" s="1">
        <v>43574</v>
      </c>
      <c r="D821">
        <v>2019</v>
      </c>
      <c r="E821">
        <v>4</v>
      </c>
      <c r="F821">
        <v>0</v>
      </c>
      <c r="G821" t="s">
        <v>9</v>
      </c>
    </row>
    <row r="822" spans="1:7" x14ac:dyDescent="0.25">
      <c r="A822" t="s">
        <v>7</v>
      </c>
      <c r="B822" t="s">
        <v>10</v>
      </c>
      <c r="C822" s="1">
        <v>43576</v>
      </c>
      <c r="D822">
        <v>2019</v>
      </c>
      <c r="E822">
        <v>4</v>
      </c>
      <c r="F822">
        <v>0.50669956199999999</v>
      </c>
      <c r="G822" t="s">
        <v>9</v>
      </c>
    </row>
    <row r="823" spans="1:7" x14ac:dyDescent="0.25">
      <c r="A823" t="s">
        <v>7</v>
      </c>
      <c r="B823" t="s">
        <v>10</v>
      </c>
      <c r="C823" s="1">
        <v>43578</v>
      </c>
      <c r="D823">
        <v>2019</v>
      </c>
      <c r="E823">
        <v>4</v>
      </c>
      <c r="F823">
        <v>1.841421843</v>
      </c>
      <c r="G823" t="s">
        <v>9</v>
      </c>
    </row>
    <row r="824" spans="1:7" x14ac:dyDescent="0.25">
      <c r="A824" t="s">
        <v>7</v>
      </c>
      <c r="B824" t="s">
        <v>10</v>
      </c>
      <c r="C824" s="1">
        <v>43579</v>
      </c>
      <c r="D824">
        <v>2019</v>
      </c>
      <c r="E824">
        <v>4</v>
      </c>
      <c r="F824">
        <v>0.74040770499999997</v>
      </c>
      <c r="G824" t="s">
        <v>9</v>
      </c>
    </row>
    <row r="825" spans="1:7" x14ac:dyDescent="0.25">
      <c r="A825" t="s">
        <v>7</v>
      </c>
      <c r="B825" t="s">
        <v>10</v>
      </c>
      <c r="C825" s="1">
        <v>43580</v>
      </c>
      <c r="D825">
        <v>2019</v>
      </c>
      <c r="E825">
        <v>4</v>
      </c>
      <c r="F825">
        <v>0</v>
      </c>
      <c r="G825" t="s">
        <v>9</v>
      </c>
    </row>
    <row r="826" spans="1:7" x14ac:dyDescent="0.25">
      <c r="A826" t="s">
        <v>7</v>
      </c>
      <c r="B826" t="s">
        <v>10</v>
      </c>
      <c r="C826" s="1">
        <v>43592</v>
      </c>
      <c r="D826">
        <v>2019</v>
      </c>
      <c r="E826">
        <v>5</v>
      </c>
      <c r="F826">
        <v>0</v>
      </c>
      <c r="G826" t="s">
        <v>9</v>
      </c>
    </row>
    <row r="827" spans="1:7" x14ac:dyDescent="0.25">
      <c r="A827" t="s">
        <v>7</v>
      </c>
      <c r="B827" t="s">
        <v>10</v>
      </c>
      <c r="C827" s="1">
        <v>43594</v>
      </c>
      <c r="D827">
        <v>2019</v>
      </c>
      <c r="E827">
        <v>5</v>
      </c>
      <c r="F827">
        <v>0</v>
      </c>
      <c r="G827" t="s">
        <v>9</v>
      </c>
    </row>
    <row r="828" spans="1:7" x14ac:dyDescent="0.25">
      <c r="A828" t="s">
        <v>7</v>
      </c>
      <c r="B828" t="s">
        <v>10</v>
      </c>
      <c r="C828" s="1">
        <v>43599</v>
      </c>
      <c r="D828">
        <v>2019</v>
      </c>
      <c r="E828">
        <v>5</v>
      </c>
      <c r="F828">
        <v>0</v>
      </c>
      <c r="G828" t="s">
        <v>9</v>
      </c>
    </row>
    <row r="829" spans="1:7" x14ac:dyDescent="0.25">
      <c r="A829" t="s">
        <v>7</v>
      </c>
      <c r="B829" t="s">
        <v>10</v>
      </c>
      <c r="C829" s="1">
        <v>43602</v>
      </c>
      <c r="D829">
        <v>2019</v>
      </c>
      <c r="E829">
        <v>5</v>
      </c>
      <c r="F829">
        <v>0</v>
      </c>
      <c r="G829" t="s">
        <v>9</v>
      </c>
    </row>
    <row r="830" spans="1:7" x14ac:dyDescent="0.25">
      <c r="A830" t="s">
        <v>7</v>
      </c>
      <c r="B830" t="s">
        <v>10</v>
      </c>
      <c r="C830" s="1">
        <v>43608</v>
      </c>
      <c r="D830">
        <v>2019</v>
      </c>
      <c r="E830">
        <v>5</v>
      </c>
      <c r="F830">
        <v>0</v>
      </c>
      <c r="G830" t="s">
        <v>9</v>
      </c>
    </row>
    <row r="831" spans="1:7" x14ac:dyDescent="0.25">
      <c r="A831" t="s">
        <v>7</v>
      </c>
      <c r="B831" t="s">
        <v>10</v>
      </c>
      <c r="C831" s="1">
        <v>43618</v>
      </c>
      <c r="D831">
        <v>2019</v>
      </c>
      <c r="E831">
        <v>6</v>
      </c>
      <c r="F831">
        <v>0</v>
      </c>
      <c r="G831" t="s">
        <v>9</v>
      </c>
    </row>
    <row r="832" spans="1:7" x14ac:dyDescent="0.25">
      <c r="A832" t="s">
        <v>7</v>
      </c>
      <c r="B832" t="s">
        <v>10</v>
      </c>
      <c r="C832" s="1">
        <v>43642</v>
      </c>
      <c r="D832">
        <v>2019</v>
      </c>
      <c r="E832">
        <v>6</v>
      </c>
      <c r="F832">
        <v>0.173396736</v>
      </c>
      <c r="G832" t="s">
        <v>9</v>
      </c>
    </row>
    <row r="833" spans="1:7" x14ac:dyDescent="0.25">
      <c r="A833" t="s">
        <v>7</v>
      </c>
      <c r="B833" t="s">
        <v>10</v>
      </c>
      <c r="C833" s="1">
        <v>43654</v>
      </c>
      <c r="D833">
        <v>2019</v>
      </c>
      <c r="E833">
        <v>7</v>
      </c>
      <c r="F833">
        <v>10.969824790000001</v>
      </c>
      <c r="G833" t="s">
        <v>9</v>
      </c>
    </row>
    <row r="834" spans="1:7" x14ac:dyDescent="0.25">
      <c r="A834" t="s">
        <v>7</v>
      </c>
      <c r="B834" t="s">
        <v>10</v>
      </c>
      <c r="C834" s="1">
        <v>43660</v>
      </c>
      <c r="D834">
        <v>2019</v>
      </c>
      <c r="E834">
        <v>7</v>
      </c>
      <c r="F834">
        <v>4.9069962499999997</v>
      </c>
      <c r="G834" t="s">
        <v>9</v>
      </c>
    </row>
    <row r="835" spans="1:7" x14ac:dyDescent="0.25">
      <c r="A835" t="s">
        <v>7</v>
      </c>
      <c r="B835" t="s">
        <v>10</v>
      </c>
      <c r="C835" s="1">
        <v>43676</v>
      </c>
      <c r="D835">
        <v>2019</v>
      </c>
      <c r="E835">
        <v>7</v>
      </c>
      <c r="F835">
        <v>4.0027446749999998</v>
      </c>
      <c r="G835" t="s">
        <v>9</v>
      </c>
    </row>
    <row r="836" spans="1:7" x14ac:dyDescent="0.25">
      <c r="A836" t="s">
        <v>7</v>
      </c>
      <c r="B836" t="s">
        <v>10</v>
      </c>
      <c r="C836" s="1">
        <v>43679</v>
      </c>
      <c r="D836">
        <v>2019</v>
      </c>
      <c r="E836">
        <v>8</v>
      </c>
      <c r="F836">
        <v>50.298553470000002</v>
      </c>
      <c r="G836" t="s">
        <v>9</v>
      </c>
    </row>
    <row r="837" spans="1:7" x14ac:dyDescent="0.25">
      <c r="A837" t="s">
        <v>7</v>
      </c>
      <c r="B837" t="s">
        <v>10</v>
      </c>
      <c r="C837" s="1">
        <v>43685</v>
      </c>
      <c r="D837">
        <v>2019</v>
      </c>
      <c r="E837">
        <v>8</v>
      </c>
      <c r="F837">
        <v>15.878356930000001</v>
      </c>
      <c r="G837" t="s">
        <v>9</v>
      </c>
    </row>
    <row r="838" spans="1:7" x14ac:dyDescent="0.25">
      <c r="A838" t="s">
        <v>7</v>
      </c>
      <c r="B838" t="s">
        <v>10</v>
      </c>
      <c r="C838" s="1">
        <v>43686</v>
      </c>
      <c r="D838">
        <v>2019</v>
      </c>
      <c r="E838">
        <v>8</v>
      </c>
      <c r="F838">
        <v>11.387993809999999</v>
      </c>
      <c r="G838" t="s">
        <v>9</v>
      </c>
    </row>
    <row r="839" spans="1:7" x14ac:dyDescent="0.25">
      <c r="A839" t="s">
        <v>7</v>
      </c>
      <c r="B839" t="s">
        <v>10</v>
      </c>
      <c r="C839" s="1">
        <v>43688</v>
      </c>
      <c r="D839">
        <v>2019</v>
      </c>
      <c r="E839">
        <v>8</v>
      </c>
      <c r="F839">
        <v>0</v>
      </c>
      <c r="G839" t="s">
        <v>9</v>
      </c>
    </row>
    <row r="840" spans="1:7" x14ac:dyDescent="0.25">
      <c r="A840" t="s">
        <v>7</v>
      </c>
      <c r="B840" t="s">
        <v>10</v>
      </c>
      <c r="C840" s="1">
        <v>43690</v>
      </c>
      <c r="D840">
        <v>2019</v>
      </c>
      <c r="E840">
        <v>8</v>
      </c>
      <c r="F840">
        <v>1.8677855729999999</v>
      </c>
      <c r="G840" t="s">
        <v>9</v>
      </c>
    </row>
    <row r="841" spans="1:7" x14ac:dyDescent="0.25">
      <c r="A841" t="s">
        <v>7</v>
      </c>
      <c r="B841" t="s">
        <v>10</v>
      </c>
      <c r="C841" s="1">
        <v>43695</v>
      </c>
      <c r="D841">
        <v>2019</v>
      </c>
      <c r="E841">
        <v>8</v>
      </c>
      <c r="F841">
        <v>2.5740859509999998</v>
      </c>
      <c r="G841" t="s">
        <v>9</v>
      </c>
    </row>
    <row r="842" spans="1:7" x14ac:dyDescent="0.25">
      <c r="A842" t="s">
        <v>7</v>
      </c>
      <c r="B842" t="s">
        <v>10</v>
      </c>
      <c r="C842" s="1">
        <v>43699</v>
      </c>
      <c r="D842">
        <v>2019</v>
      </c>
      <c r="E842">
        <v>8</v>
      </c>
      <c r="F842">
        <v>3.7945895200000002</v>
      </c>
      <c r="G842" t="s">
        <v>9</v>
      </c>
    </row>
    <row r="843" spans="1:7" x14ac:dyDescent="0.25">
      <c r="A843" t="s">
        <v>7</v>
      </c>
      <c r="B843" t="s">
        <v>10</v>
      </c>
      <c r="C843" s="1">
        <v>43703</v>
      </c>
      <c r="D843">
        <v>2019</v>
      </c>
      <c r="E843">
        <v>8</v>
      </c>
      <c r="F843">
        <v>1.9845222229999999</v>
      </c>
      <c r="G843" t="s">
        <v>9</v>
      </c>
    </row>
    <row r="844" spans="1:7" x14ac:dyDescent="0.25">
      <c r="A844" t="s">
        <v>7</v>
      </c>
      <c r="B844" t="s">
        <v>10</v>
      </c>
      <c r="C844" s="1">
        <v>43707</v>
      </c>
      <c r="D844">
        <v>2019</v>
      </c>
      <c r="E844">
        <v>8</v>
      </c>
      <c r="F844">
        <v>0</v>
      </c>
      <c r="G844" t="s">
        <v>9</v>
      </c>
    </row>
    <row r="845" spans="1:7" x14ac:dyDescent="0.25">
      <c r="A845" t="s">
        <v>7</v>
      </c>
      <c r="B845" t="s">
        <v>10</v>
      </c>
      <c r="C845" s="1">
        <v>43711</v>
      </c>
      <c r="D845">
        <v>2019</v>
      </c>
      <c r="E845">
        <v>9</v>
      </c>
      <c r="F845">
        <v>1.9506639240000001</v>
      </c>
      <c r="G845" t="s">
        <v>9</v>
      </c>
    </row>
    <row r="846" spans="1:7" x14ac:dyDescent="0.25">
      <c r="A846" t="s">
        <v>7</v>
      </c>
      <c r="B846" t="s">
        <v>10</v>
      </c>
      <c r="C846" s="1">
        <v>43714</v>
      </c>
      <c r="D846">
        <v>2019</v>
      </c>
      <c r="E846">
        <v>9</v>
      </c>
      <c r="F846">
        <v>7.7925386430000003</v>
      </c>
      <c r="G846" t="s">
        <v>9</v>
      </c>
    </row>
    <row r="847" spans="1:7" x14ac:dyDescent="0.25">
      <c r="A847" t="s">
        <v>7</v>
      </c>
      <c r="B847" t="s">
        <v>10</v>
      </c>
      <c r="C847" s="1">
        <v>43720</v>
      </c>
      <c r="D847">
        <v>2019</v>
      </c>
      <c r="E847">
        <v>9</v>
      </c>
      <c r="F847">
        <v>22.338043209999999</v>
      </c>
      <c r="G847" t="s">
        <v>9</v>
      </c>
    </row>
    <row r="848" spans="1:7" x14ac:dyDescent="0.25">
      <c r="A848" t="s">
        <v>7</v>
      </c>
      <c r="B848" t="s">
        <v>10</v>
      </c>
      <c r="C848" s="1">
        <v>43744</v>
      </c>
      <c r="D848">
        <v>2019</v>
      </c>
      <c r="E848">
        <v>10</v>
      </c>
      <c r="F848">
        <v>4.442446232</v>
      </c>
      <c r="G848" t="s">
        <v>9</v>
      </c>
    </row>
    <row r="849" spans="1:7" x14ac:dyDescent="0.25">
      <c r="A849" t="s">
        <v>7</v>
      </c>
      <c r="B849" t="s">
        <v>10</v>
      </c>
      <c r="C849" s="1">
        <v>43748</v>
      </c>
      <c r="D849">
        <v>2019</v>
      </c>
      <c r="E849">
        <v>10</v>
      </c>
      <c r="F849">
        <v>2.8690795900000001</v>
      </c>
      <c r="G849" t="s">
        <v>9</v>
      </c>
    </row>
    <row r="850" spans="1:7" x14ac:dyDescent="0.25">
      <c r="A850" t="s">
        <v>7</v>
      </c>
      <c r="B850" t="s">
        <v>10</v>
      </c>
      <c r="C850" s="1">
        <v>43755</v>
      </c>
      <c r="D850">
        <v>2019</v>
      </c>
      <c r="E850">
        <v>10</v>
      </c>
      <c r="F850">
        <v>5.8866634370000002</v>
      </c>
      <c r="G850" t="s">
        <v>9</v>
      </c>
    </row>
    <row r="851" spans="1:7" x14ac:dyDescent="0.25">
      <c r="A851" t="s">
        <v>7</v>
      </c>
      <c r="B851" t="s">
        <v>10</v>
      </c>
      <c r="C851" s="1">
        <v>43756</v>
      </c>
      <c r="D851">
        <v>2019</v>
      </c>
      <c r="E851">
        <v>10</v>
      </c>
      <c r="F851">
        <v>26.32350349</v>
      </c>
      <c r="G851" t="s">
        <v>9</v>
      </c>
    </row>
    <row r="852" spans="1:7" x14ac:dyDescent="0.25">
      <c r="A852" t="s">
        <v>7</v>
      </c>
      <c r="B852" t="s">
        <v>10</v>
      </c>
      <c r="C852" s="1">
        <v>43766</v>
      </c>
      <c r="D852">
        <v>2019</v>
      </c>
      <c r="E852">
        <v>10</v>
      </c>
      <c r="F852">
        <v>0</v>
      </c>
      <c r="G852" t="s">
        <v>9</v>
      </c>
    </row>
    <row r="853" spans="1:7" x14ac:dyDescent="0.25">
      <c r="A853" t="s">
        <v>7</v>
      </c>
      <c r="B853" t="s">
        <v>10</v>
      </c>
      <c r="C853" s="1">
        <v>43773</v>
      </c>
      <c r="D853">
        <v>2019</v>
      </c>
      <c r="E853">
        <v>11</v>
      </c>
      <c r="F853">
        <v>0</v>
      </c>
      <c r="G853" t="s">
        <v>9</v>
      </c>
    </row>
    <row r="854" spans="1:7" x14ac:dyDescent="0.25">
      <c r="A854" t="s">
        <v>7</v>
      </c>
      <c r="B854" t="s">
        <v>10</v>
      </c>
      <c r="C854" s="1">
        <v>43774</v>
      </c>
      <c r="D854">
        <v>2019</v>
      </c>
      <c r="E854">
        <v>11</v>
      </c>
      <c r="F854">
        <v>0</v>
      </c>
      <c r="G854" t="s">
        <v>9</v>
      </c>
    </row>
    <row r="855" spans="1:7" x14ac:dyDescent="0.25">
      <c r="A855" t="s">
        <v>7</v>
      </c>
      <c r="B855" t="s">
        <v>10</v>
      </c>
      <c r="C855" s="1">
        <v>43780</v>
      </c>
      <c r="D855">
        <v>2019</v>
      </c>
      <c r="E855">
        <v>11</v>
      </c>
      <c r="F855">
        <v>0</v>
      </c>
      <c r="G855" t="s">
        <v>9</v>
      </c>
    </row>
    <row r="856" spans="1:7" x14ac:dyDescent="0.25">
      <c r="A856" t="s">
        <v>7</v>
      </c>
      <c r="B856" t="s">
        <v>10</v>
      </c>
      <c r="C856" s="1">
        <v>43788</v>
      </c>
      <c r="D856">
        <v>2019</v>
      </c>
      <c r="E856">
        <v>11</v>
      </c>
      <c r="F856">
        <v>0</v>
      </c>
      <c r="G856" t="s">
        <v>9</v>
      </c>
    </row>
    <row r="857" spans="1:7" x14ac:dyDescent="0.25">
      <c r="A857" t="s">
        <v>7</v>
      </c>
      <c r="B857" t="s">
        <v>10</v>
      </c>
      <c r="C857" s="1">
        <v>43792</v>
      </c>
      <c r="D857">
        <v>2019</v>
      </c>
      <c r="E857">
        <v>11</v>
      </c>
      <c r="F857">
        <v>0</v>
      </c>
      <c r="G857" t="s">
        <v>9</v>
      </c>
    </row>
    <row r="858" spans="1:7" x14ac:dyDescent="0.25">
      <c r="A858" t="s">
        <v>7</v>
      </c>
      <c r="B858" t="s">
        <v>10</v>
      </c>
      <c r="C858" s="1">
        <v>43796</v>
      </c>
      <c r="D858">
        <v>2019</v>
      </c>
      <c r="E858">
        <v>11</v>
      </c>
      <c r="F858">
        <v>0</v>
      </c>
      <c r="G858" t="s">
        <v>9</v>
      </c>
    </row>
    <row r="859" spans="1:7" x14ac:dyDescent="0.25">
      <c r="A859" t="s">
        <v>7</v>
      </c>
      <c r="B859" t="s">
        <v>10</v>
      </c>
      <c r="C859" s="1">
        <v>43799</v>
      </c>
      <c r="D859">
        <v>2019</v>
      </c>
      <c r="E859">
        <v>11</v>
      </c>
      <c r="F859">
        <v>0</v>
      </c>
      <c r="G859" t="s">
        <v>9</v>
      </c>
    </row>
    <row r="860" spans="1:7" x14ac:dyDescent="0.25">
      <c r="A860" t="s">
        <v>7</v>
      </c>
      <c r="B860" t="s">
        <v>10</v>
      </c>
      <c r="C860" s="1">
        <v>43814</v>
      </c>
      <c r="D860">
        <v>2019</v>
      </c>
      <c r="E860">
        <v>12</v>
      </c>
      <c r="F860">
        <v>0</v>
      </c>
      <c r="G860" t="s">
        <v>9</v>
      </c>
    </row>
    <row r="861" spans="1:7" x14ac:dyDescent="0.25">
      <c r="A861" t="s">
        <v>7</v>
      </c>
      <c r="B861" t="s">
        <v>10</v>
      </c>
      <c r="C861" s="1">
        <v>43815</v>
      </c>
      <c r="D861">
        <v>2019</v>
      </c>
      <c r="E861">
        <v>12</v>
      </c>
      <c r="F861">
        <v>0</v>
      </c>
      <c r="G861" t="s">
        <v>9</v>
      </c>
    </row>
    <row r="862" spans="1:7" x14ac:dyDescent="0.25">
      <c r="A862" t="s">
        <v>7</v>
      </c>
      <c r="B862" t="s">
        <v>10</v>
      </c>
      <c r="C862" s="1">
        <v>43817</v>
      </c>
      <c r="D862">
        <v>2019</v>
      </c>
      <c r="E862">
        <v>12</v>
      </c>
      <c r="F862">
        <v>0</v>
      </c>
      <c r="G862" t="s">
        <v>9</v>
      </c>
    </row>
    <row r="863" spans="1:7" x14ac:dyDescent="0.25">
      <c r="A863" t="s">
        <v>7</v>
      </c>
      <c r="B863" t="s">
        <v>10</v>
      </c>
      <c r="C863" s="1">
        <v>43819</v>
      </c>
      <c r="D863">
        <v>2019</v>
      </c>
      <c r="E863">
        <v>12</v>
      </c>
      <c r="F863">
        <v>0</v>
      </c>
      <c r="G863" t="s">
        <v>9</v>
      </c>
    </row>
    <row r="864" spans="1:7" x14ac:dyDescent="0.25">
      <c r="A864" t="s">
        <v>7</v>
      </c>
      <c r="B864" t="s">
        <v>10</v>
      </c>
      <c r="C864" s="1">
        <v>43824</v>
      </c>
      <c r="D864">
        <v>2019</v>
      </c>
      <c r="E864">
        <v>12</v>
      </c>
      <c r="F864">
        <v>0</v>
      </c>
      <c r="G864" t="s">
        <v>9</v>
      </c>
    </row>
    <row r="865" spans="1:7" x14ac:dyDescent="0.25">
      <c r="A865" t="s">
        <v>7</v>
      </c>
      <c r="B865" t="s">
        <v>10</v>
      </c>
      <c r="C865" s="1">
        <v>43828</v>
      </c>
      <c r="D865">
        <v>2019</v>
      </c>
      <c r="E865">
        <v>12</v>
      </c>
      <c r="F865">
        <v>0.27743479599999998</v>
      </c>
      <c r="G865" t="s">
        <v>9</v>
      </c>
    </row>
    <row r="866" spans="1:7" x14ac:dyDescent="0.25">
      <c r="A866" t="s">
        <v>7</v>
      </c>
      <c r="B866" t="s">
        <v>11</v>
      </c>
      <c r="C866" s="1">
        <v>43476</v>
      </c>
      <c r="D866">
        <v>2019</v>
      </c>
      <c r="E866">
        <v>1</v>
      </c>
      <c r="F866">
        <v>0</v>
      </c>
      <c r="G866" t="s">
        <v>9</v>
      </c>
    </row>
    <row r="867" spans="1:7" x14ac:dyDescent="0.25">
      <c r="A867" t="s">
        <v>7</v>
      </c>
      <c r="B867" t="s">
        <v>11</v>
      </c>
      <c r="C867" s="1">
        <v>43479</v>
      </c>
      <c r="D867">
        <v>2019</v>
      </c>
      <c r="E867">
        <v>1</v>
      </c>
      <c r="F867">
        <v>0</v>
      </c>
      <c r="G867" t="s">
        <v>9</v>
      </c>
    </row>
    <row r="868" spans="1:7" x14ac:dyDescent="0.25">
      <c r="A868" t="s">
        <v>7</v>
      </c>
      <c r="B868" t="s">
        <v>11</v>
      </c>
      <c r="C868" s="1">
        <v>43481</v>
      </c>
      <c r="D868">
        <v>2019</v>
      </c>
      <c r="E868">
        <v>1</v>
      </c>
      <c r="F868">
        <v>0</v>
      </c>
      <c r="G868" t="s">
        <v>9</v>
      </c>
    </row>
    <row r="869" spans="1:7" x14ac:dyDescent="0.25">
      <c r="A869" t="s">
        <v>7</v>
      </c>
      <c r="B869" t="s">
        <v>11</v>
      </c>
      <c r="C869" s="1">
        <v>43486</v>
      </c>
      <c r="D869">
        <v>2019</v>
      </c>
      <c r="E869">
        <v>1</v>
      </c>
      <c r="F869">
        <v>0</v>
      </c>
      <c r="G869" t="s">
        <v>9</v>
      </c>
    </row>
    <row r="870" spans="1:7" x14ac:dyDescent="0.25">
      <c r="A870" t="s">
        <v>7</v>
      </c>
      <c r="B870" t="s">
        <v>11</v>
      </c>
      <c r="C870" s="1">
        <v>43501</v>
      </c>
      <c r="D870">
        <v>2019</v>
      </c>
      <c r="E870">
        <v>2</v>
      </c>
      <c r="F870">
        <v>9.1658143019999994</v>
      </c>
      <c r="G870" t="s">
        <v>9</v>
      </c>
    </row>
    <row r="871" spans="1:7" x14ac:dyDescent="0.25">
      <c r="A871" t="s">
        <v>7</v>
      </c>
      <c r="B871" t="s">
        <v>11</v>
      </c>
      <c r="C871" s="1">
        <v>43508</v>
      </c>
      <c r="D871">
        <v>2019</v>
      </c>
      <c r="E871">
        <v>2</v>
      </c>
      <c r="F871">
        <v>0</v>
      </c>
      <c r="G871" t="s">
        <v>9</v>
      </c>
    </row>
    <row r="872" spans="1:7" x14ac:dyDescent="0.25">
      <c r="A872" t="s">
        <v>7</v>
      </c>
      <c r="B872" t="s">
        <v>11</v>
      </c>
      <c r="C872" s="1">
        <v>43510</v>
      </c>
      <c r="D872">
        <v>2019</v>
      </c>
      <c r="E872">
        <v>2</v>
      </c>
      <c r="F872">
        <v>0</v>
      </c>
      <c r="G872" t="s">
        <v>9</v>
      </c>
    </row>
    <row r="873" spans="1:7" x14ac:dyDescent="0.25">
      <c r="A873" t="s">
        <v>7</v>
      </c>
      <c r="B873" t="s">
        <v>11</v>
      </c>
      <c r="C873" s="1">
        <v>43519</v>
      </c>
      <c r="D873">
        <v>2019</v>
      </c>
      <c r="E873">
        <v>2</v>
      </c>
      <c r="F873">
        <v>0</v>
      </c>
      <c r="G873" t="s">
        <v>9</v>
      </c>
    </row>
    <row r="874" spans="1:7" x14ac:dyDescent="0.25">
      <c r="A874" t="s">
        <v>7</v>
      </c>
      <c r="B874" t="s">
        <v>11</v>
      </c>
      <c r="C874" s="1">
        <v>43525</v>
      </c>
      <c r="D874">
        <v>2019</v>
      </c>
      <c r="E874">
        <v>3</v>
      </c>
      <c r="F874">
        <v>0.33684079099999997</v>
      </c>
      <c r="G874" t="s">
        <v>9</v>
      </c>
    </row>
    <row r="875" spans="1:7" x14ac:dyDescent="0.25">
      <c r="A875" t="s">
        <v>7</v>
      </c>
      <c r="B875" t="s">
        <v>11</v>
      </c>
      <c r="C875" s="1">
        <v>43528</v>
      </c>
      <c r="D875">
        <v>2019</v>
      </c>
      <c r="E875">
        <v>3</v>
      </c>
      <c r="F875">
        <v>0</v>
      </c>
      <c r="G875" t="s">
        <v>9</v>
      </c>
    </row>
    <row r="876" spans="1:7" x14ac:dyDescent="0.25">
      <c r="A876" t="s">
        <v>7</v>
      </c>
      <c r="B876" t="s">
        <v>11</v>
      </c>
      <c r="C876" s="1">
        <v>43534</v>
      </c>
      <c r="D876">
        <v>2019</v>
      </c>
      <c r="E876">
        <v>3</v>
      </c>
      <c r="F876">
        <v>0</v>
      </c>
      <c r="G876" t="s">
        <v>9</v>
      </c>
    </row>
    <row r="877" spans="1:7" x14ac:dyDescent="0.25">
      <c r="A877" t="s">
        <v>7</v>
      </c>
      <c r="B877" t="s">
        <v>11</v>
      </c>
      <c r="C877" s="1">
        <v>43549</v>
      </c>
      <c r="D877">
        <v>2019</v>
      </c>
      <c r="E877">
        <v>3</v>
      </c>
      <c r="F877">
        <v>0</v>
      </c>
      <c r="G877" t="s">
        <v>9</v>
      </c>
    </row>
    <row r="878" spans="1:7" x14ac:dyDescent="0.25">
      <c r="A878" t="s">
        <v>7</v>
      </c>
      <c r="B878" t="s">
        <v>11</v>
      </c>
      <c r="C878" s="1">
        <v>43554</v>
      </c>
      <c r="D878">
        <v>2019</v>
      </c>
      <c r="E878">
        <v>3</v>
      </c>
      <c r="F878">
        <v>0</v>
      </c>
      <c r="G878" t="s">
        <v>9</v>
      </c>
    </row>
    <row r="879" spans="1:7" x14ac:dyDescent="0.25">
      <c r="A879" t="s">
        <v>7</v>
      </c>
      <c r="B879" t="s">
        <v>11</v>
      </c>
      <c r="C879" s="1">
        <v>43559</v>
      </c>
      <c r="D879">
        <v>2019</v>
      </c>
      <c r="E879">
        <v>4</v>
      </c>
      <c r="F879">
        <v>0</v>
      </c>
      <c r="G879" t="s">
        <v>9</v>
      </c>
    </row>
    <row r="880" spans="1:7" x14ac:dyDescent="0.25">
      <c r="A880" t="s">
        <v>7</v>
      </c>
      <c r="B880" t="s">
        <v>11</v>
      </c>
      <c r="C880" s="1">
        <v>43467</v>
      </c>
      <c r="D880">
        <v>2019</v>
      </c>
      <c r="E880">
        <v>1</v>
      </c>
      <c r="F880">
        <v>0</v>
      </c>
      <c r="G880" t="s">
        <v>9</v>
      </c>
    </row>
    <row r="881" spans="1:7" x14ac:dyDescent="0.25">
      <c r="A881" t="s">
        <v>7</v>
      </c>
      <c r="B881" t="s">
        <v>11</v>
      </c>
      <c r="C881" s="1">
        <v>43474</v>
      </c>
      <c r="D881">
        <v>2019</v>
      </c>
      <c r="E881">
        <v>1</v>
      </c>
      <c r="F881">
        <v>0</v>
      </c>
      <c r="G881" t="s">
        <v>9</v>
      </c>
    </row>
    <row r="882" spans="1:7" x14ac:dyDescent="0.25">
      <c r="A882" t="s">
        <v>7</v>
      </c>
      <c r="B882" t="s">
        <v>11</v>
      </c>
      <c r="C882" s="1">
        <v>43478</v>
      </c>
      <c r="D882">
        <v>2019</v>
      </c>
      <c r="E882">
        <v>1</v>
      </c>
      <c r="F882">
        <v>0</v>
      </c>
      <c r="G882" t="s">
        <v>9</v>
      </c>
    </row>
    <row r="883" spans="1:7" x14ac:dyDescent="0.25">
      <c r="A883" t="s">
        <v>7</v>
      </c>
      <c r="B883" t="s">
        <v>11</v>
      </c>
      <c r="C883" s="1">
        <v>43490</v>
      </c>
      <c r="D883">
        <v>2019</v>
      </c>
      <c r="E883">
        <v>1</v>
      </c>
      <c r="F883">
        <v>0</v>
      </c>
      <c r="G883" t="s">
        <v>9</v>
      </c>
    </row>
    <row r="884" spans="1:7" x14ac:dyDescent="0.25">
      <c r="A884" t="s">
        <v>7</v>
      </c>
      <c r="B884" t="s">
        <v>11</v>
      </c>
      <c r="C884" s="1">
        <v>43491</v>
      </c>
      <c r="D884">
        <v>2019</v>
      </c>
      <c r="E884">
        <v>1</v>
      </c>
      <c r="F884">
        <v>0</v>
      </c>
      <c r="G884" t="s">
        <v>9</v>
      </c>
    </row>
    <row r="885" spans="1:7" x14ac:dyDescent="0.25">
      <c r="A885" t="s">
        <v>7</v>
      </c>
      <c r="B885" t="s">
        <v>11</v>
      </c>
      <c r="C885" s="1">
        <v>43503</v>
      </c>
      <c r="D885">
        <v>2019</v>
      </c>
      <c r="E885">
        <v>2</v>
      </c>
      <c r="F885">
        <v>0</v>
      </c>
      <c r="G885" t="s">
        <v>9</v>
      </c>
    </row>
    <row r="886" spans="1:7" x14ac:dyDescent="0.25">
      <c r="A886" t="s">
        <v>7</v>
      </c>
      <c r="B886" t="s">
        <v>11</v>
      </c>
      <c r="C886" s="1">
        <v>43513</v>
      </c>
      <c r="D886">
        <v>2019</v>
      </c>
      <c r="E886">
        <v>2</v>
      </c>
      <c r="F886">
        <v>0</v>
      </c>
      <c r="G886" t="s">
        <v>9</v>
      </c>
    </row>
    <row r="887" spans="1:7" x14ac:dyDescent="0.25">
      <c r="A887" t="s">
        <v>7</v>
      </c>
      <c r="B887" t="s">
        <v>11</v>
      </c>
      <c r="C887" s="1">
        <v>43523</v>
      </c>
      <c r="D887">
        <v>2019</v>
      </c>
      <c r="E887">
        <v>2</v>
      </c>
      <c r="F887">
        <v>0</v>
      </c>
      <c r="G887" t="s">
        <v>9</v>
      </c>
    </row>
    <row r="888" spans="1:7" x14ac:dyDescent="0.25">
      <c r="A888" t="s">
        <v>7</v>
      </c>
      <c r="B888" t="s">
        <v>11</v>
      </c>
      <c r="C888" s="1">
        <v>43532</v>
      </c>
      <c r="D888">
        <v>2019</v>
      </c>
      <c r="E888">
        <v>3</v>
      </c>
      <c r="F888">
        <v>0</v>
      </c>
      <c r="G888" t="s">
        <v>9</v>
      </c>
    </row>
    <row r="889" spans="1:7" x14ac:dyDescent="0.25">
      <c r="A889" t="s">
        <v>7</v>
      </c>
      <c r="B889" t="s">
        <v>11</v>
      </c>
      <c r="C889" s="1">
        <v>43544</v>
      </c>
      <c r="D889">
        <v>2019</v>
      </c>
      <c r="E889">
        <v>3</v>
      </c>
      <c r="F889">
        <v>0</v>
      </c>
      <c r="G889" t="s">
        <v>9</v>
      </c>
    </row>
    <row r="890" spans="1:7" x14ac:dyDescent="0.25">
      <c r="A890" t="s">
        <v>7</v>
      </c>
      <c r="B890" t="s">
        <v>11</v>
      </c>
      <c r="C890" s="1">
        <v>43547</v>
      </c>
      <c r="D890">
        <v>2019</v>
      </c>
      <c r="E890">
        <v>3</v>
      </c>
      <c r="F890">
        <v>0</v>
      </c>
      <c r="G890" t="s">
        <v>9</v>
      </c>
    </row>
    <row r="891" spans="1:7" x14ac:dyDescent="0.25">
      <c r="A891" t="s">
        <v>7</v>
      </c>
      <c r="B891" t="s">
        <v>11</v>
      </c>
      <c r="C891" s="1">
        <v>43576</v>
      </c>
      <c r="D891">
        <v>2019</v>
      </c>
      <c r="E891">
        <v>4</v>
      </c>
      <c r="F891">
        <v>0</v>
      </c>
      <c r="G891" t="s">
        <v>9</v>
      </c>
    </row>
    <row r="892" spans="1:7" x14ac:dyDescent="0.25">
      <c r="A892" t="s">
        <v>7</v>
      </c>
      <c r="B892" t="s">
        <v>11</v>
      </c>
      <c r="C892" s="1">
        <v>43600</v>
      </c>
      <c r="D892">
        <v>2019</v>
      </c>
      <c r="E892">
        <v>5</v>
      </c>
      <c r="F892">
        <v>0</v>
      </c>
      <c r="G892" t="s">
        <v>9</v>
      </c>
    </row>
    <row r="893" spans="1:7" x14ac:dyDescent="0.25">
      <c r="A893" t="s">
        <v>7</v>
      </c>
      <c r="B893" t="s">
        <v>11</v>
      </c>
      <c r="C893" s="1">
        <v>43601</v>
      </c>
      <c r="D893">
        <v>2019</v>
      </c>
      <c r="E893">
        <v>5</v>
      </c>
      <c r="F893">
        <v>0</v>
      </c>
      <c r="G893" t="s">
        <v>9</v>
      </c>
    </row>
    <row r="894" spans="1:7" x14ac:dyDescent="0.25">
      <c r="A894" t="s">
        <v>7</v>
      </c>
      <c r="B894" t="s">
        <v>11</v>
      </c>
      <c r="C894" s="1">
        <v>43603</v>
      </c>
      <c r="D894">
        <v>2019</v>
      </c>
      <c r="E894">
        <v>5</v>
      </c>
      <c r="F894">
        <v>0</v>
      </c>
      <c r="G894" t="s">
        <v>9</v>
      </c>
    </row>
    <row r="895" spans="1:7" x14ac:dyDescent="0.25">
      <c r="A895" t="s">
        <v>7</v>
      </c>
      <c r="B895" t="s">
        <v>11</v>
      </c>
      <c r="C895" s="1">
        <v>43616</v>
      </c>
      <c r="D895">
        <v>2019</v>
      </c>
      <c r="E895">
        <v>5</v>
      </c>
      <c r="F895">
        <v>0</v>
      </c>
      <c r="G895" t="s">
        <v>9</v>
      </c>
    </row>
    <row r="896" spans="1:7" x14ac:dyDescent="0.25">
      <c r="A896" t="s">
        <v>7</v>
      </c>
      <c r="B896" t="s">
        <v>11</v>
      </c>
      <c r="C896" s="1">
        <v>43619</v>
      </c>
      <c r="D896">
        <v>2019</v>
      </c>
      <c r="E896">
        <v>6</v>
      </c>
      <c r="F896">
        <v>0</v>
      </c>
      <c r="G896" t="s">
        <v>9</v>
      </c>
    </row>
    <row r="897" spans="1:7" x14ac:dyDescent="0.25">
      <c r="A897" t="s">
        <v>7</v>
      </c>
      <c r="B897" t="s">
        <v>11</v>
      </c>
      <c r="C897" s="1">
        <v>43623</v>
      </c>
      <c r="D897">
        <v>2019</v>
      </c>
      <c r="E897">
        <v>6</v>
      </c>
      <c r="F897">
        <v>0</v>
      </c>
      <c r="G897" t="s">
        <v>9</v>
      </c>
    </row>
    <row r="898" spans="1:7" x14ac:dyDescent="0.25">
      <c r="A898" t="s">
        <v>7</v>
      </c>
      <c r="B898" t="s">
        <v>11</v>
      </c>
      <c r="C898" s="1">
        <v>43627</v>
      </c>
      <c r="D898">
        <v>2019</v>
      </c>
      <c r="E898">
        <v>6</v>
      </c>
      <c r="F898">
        <v>0</v>
      </c>
      <c r="G898" t="s">
        <v>9</v>
      </c>
    </row>
    <row r="899" spans="1:7" x14ac:dyDescent="0.25">
      <c r="A899" t="s">
        <v>7</v>
      </c>
      <c r="B899" t="s">
        <v>11</v>
      </c>
      <c r="C899" s="1">
        <v>43633</v>
      </c>
      <c r="D899">
        <v>2019</v>
      </c>
      <c r="E899">
        <v>6</v>
      </c>
      <c r="F899">
        <v>0</v>
      </c>
      <c r="G899" t="s">
        <v>9</v>
      </c>
    </row>
    <row r="900" spans="1:7" x14ac:dyDescent="0.25">
      <c r="A900" t="s">
        <v>7</v>
      </c>
      <c r="B900" t="s">
        <v>11</v>
      </c>
      <c r="C900" s="1">
        <v>43634</v>
      </c>
      <c r="D900">
        <v>2019</v>
      </c>
      <c r="E900">
        <v>6</v>
      </c>
      <c r="F900">
        <v>0</v>
      </c>
      <c r="G900" t="s">
        <v>9</v>
      </c>
    </row>
    <row r="901" spans="1:7" x14ac:dyDescent="0.25">
      <c r="A901" t="s">
        <v>7</v>
      </c>
      <c r="B901" t="s">
        <v>11</v>
      </c>
      <c r="C901" s="1">
        <v>43635</v>
      </c>
      <c r="D901">
        <v>2019</v>
      </c>
      <c r="E901">
        <v>6</v>
      </c>
      <c r="F901">
        <v>0</v>
      </c>
      <c r="G901" t="s">
        <v>9</v>
      </c>
    </row>
    <row r="902" spans="1:7" x14ac:dyDescent="0.25">
      <c r="A902" t="s">
        <v>7</v>
      </c>
      <c r="B902" t="s">
        <v>11</v>
      </c>
      <c r="C902" s="1">
        <v>43639</v>
      </c>
      <c r="D902">
        <v>2019</v>
      </c>
      <c r="E902">
        <v>6</v>
      </c>
      <c r="F902">
        <v>0</v>
      </c>
      <c r="G902" t="s">
        <v>9</v>
      </c>
    </row>
    <row r="903" spans="1:7" x14ac:dyDescent="0.25">
      <c r="A903" t="s">
        <v>7</v>
      </c>
      <c r="B903" t="s">
        <v>11</v>
      </c>
      <c r="C903" s="1">
        <v>43647</v>
      </c>
      <c r="D903">
        <v>2019</v>
      </c>
      <c r="E903">
        <v>7</v>
      </c>
      <c r="F903">
        <v>0</v>
      </c>
      <c r="G903" t="s">
        <v>9</v>
      </c>
    </row>
    <row r="904" spans="1:7" x14ac:dyDescent="0.25">
      <c r="A904" t="s">
        <v>7</v>
      </c>
      <c r="B904" t="s">
        <v>11</v>
      </c>
      <c r="C904" s="1">
        <v>43652</v>
      </c>
      <c r="D904">
        <v>2019</v>
      </c>
      <c r="E904">
        <v>7</v>
      </c>
      <c r="F904">
        <v>0</v>
      </c>
      <c r="G904" t="s">
        <v>9</v>
      </c>
    </row>
    <row r="905" spans="1:7" x14ac:dyDescent="0.25">
      <c r="A905" t="s">
        <v>7</v>
      </c>
      <c r="B905" t="s">
        <v>11</v>
      </c>
      <c r="C905" s="1">
        <v>43658</v>
      </c>
      <c r="D905">
        <v>2019</v>
      </c>
      <c r="E905">
        <v>7</v>
      </c>
      <c r="F905">
        <v>0</v>
      </c>
      <c r="G905" t="s">
        <v>9</v>
      </c>
    </row>
    <row r="906" spans="1:7" x14ac:dyDescent="0.25">
      <c r="A906" t="s">
        <v>7</v>
      </c>
      <c r="B906" t="s">
        <v>11</v>
      </c>
      <c r="C906" s="1">
        <v>43659</v>
      </c>
      <c r="D906">
        <v>2019</v>
      </c>
      <c r="E906">
        <v>7</v>
      </c>
      <c r="F906">
        <v>0</v>
      </c>
      <c r="G906" t="s">
        <v>9</v>
      </c>
    </row>
    <row r="907" spans="1:7" x14ac:dyDescent="0.25">
      <c r="A907" t="s">
        <v>7</v>
      </c>
      <c r="B907" t="s">
        <v>11</v>
      </c>
      <c r="C907" s="1">
        <v>43666</v>
      </c>
      <c r="D907">
        <v>2019</v>
      </c>
      <c r="E907">
        <v>7</v>
      </c>
      <c r="F907">
        <v>0.53703348799999995</v>
      </c>
      <c r="G907" t="s">
        <v>9</v>
      </c>
    </row>
    <row r="908" spans="1:7" x14ac:dyDescent="0.25">
      <c r="A908" t="s">
        <v>7</v>
      </c>
      <c r="B908" t="s">
        <v>11</v>
      </c>
      <c r="C908" s="1">
        <v>43668</v>
      </c>
      <c r="D908">
        <v>2019</v>
      </c>
      <c r="E908">
        <v>7</v>
      </c>
      <c r="F908">
        <v>0.50526117299999995</v>
      </c>
      <c r="G908" t="s">
        <v>9</v>
      </c>
    </row>
    <row r="909" spans="1:7" x14ac:dyDescent="0.25">
      <c r="A909" t="s">
        <v>7</v>
      </c>
      <c r="B909" t="s">
        <v>11</v>
      </c>
      <c r="C909" s="1">
        <v>43670</v>
      </c>
      <c r="D909">
        <v>2019</v>
      </c>
      <c r="E909">
        <v>7</v>
      </c>
      <c r="F909">
        <v>0</v>
      </c>
      <c r="G909" t="s">
        <v>9</v>
      </c>
    </row>
    <row r="910" spans="1:7" x14ac:dyDescent="0.25">
      <c r="A910" t="s">
        <v>7</v>
      </c>
      <c r="B910" t="s">
        <v>11</v>
      </c>
      <c r="C910" s="1">
        <v>43675</v>
      </c>
      <c r="D910">
        <v>2019</v>
      </c>
      <c r="E910">
        <v>7</v>
      </c>
      <c r="F910">
        <v>0.113891188</v>
      </c>
      <c r="G910" t="s">
        <v>9</v>
      </c>
    </row>
    <row r="911" spans="1:7" x14ac:dyDescent="0.25">
      <c r="A911" t="s">
        <v>7</v>
      </c>
      <c r="B911" t="s">
        <v>11</v>
      </c>
      <c r="C911" s="1">
        <v>43686</v>
      </c>
      <c r="D911">
        <v>2019</v>
      </c>
      <c r="E911">
        <v>8</v>
      </c>
      <c r="F911">
        <v>0</v>
      </c>
      <c r="G911" t="s">
        <v>9</v>
      </c>
    </row>
    <row r="912" spans="1:7" x14ac:dyDescent="0.25">
      <c r="A912" t="s">
        <v>7</v>
      </c>
      <c r="B912" t="s">
        <v>11</v>
      </c>
      <c r="C912" s="1">
        <v>43687</v>
      </c>
      <c r="D912">
        <v>2019</v>
      </c>
      <c r="E912">
        <v>8</v>
      </c>
      <c r="F912">
        <v>0</v>
      </c>
      <c r="G912" t="s">
        <v>9</v>
      </c>
    </row>
    <row r="913" spans="1:7" x14ac:dyDescent="0.25">
      <c r="A913" t="s">
        <v>7</v>
      </c>
      <c r="B913" t="s">
        <v>11</v>
      </c>
      <c r="C913" s="1">
        <v>43691</v>
      </c>
      <c r="D913">
        <v>2019</v>
      </c>
      <c r="E913">
        <v>8</v>
      </c>
      <c r="F913">
        <v>0.80293294000000004</v>
      </c>
      <c r="G913" t="s">
        <v>9</v>
      </c>
    </row>
    <row r="914" spans="1:7" x14ac:dyDescent="0.25">
      <c r="A914" t="s">
        <v>7</v>
      </c>
      <c r="B914" t="s">
        <v>11</v>
      </c>
      <c r="C914" s="1">
        <v>43693</v>
      </c>
      <c r="D914">
        <v>2019</v>
      </c>
      <c r="E914">
        <v>8</v>
      </c>
      <c r="F914">
        <v>7.2001261999999996E-2</v>
      </c>
      <c r="G914" t="s">
        <v>9</v>
      </c>
    </row>
    <row r="915" spans="1:7" x14ac:dyDescent="0.25">
      <c r="A915" t="s">
        <v>7</v>
      </c>
      <c r="B915" t="s">
        <v>11</v>
      </c>
      <c r="C915" s="1">
        <v>43694</v>
      </c>
      <c r="D915">
        <v>2019</v>
      </c>
      <c r="E915">
        <v>8</v>
      </c>
      <c r="F915">
        <v>19.723949990000001</v>
      </c>
      <c r="G915" t="s">
        <v>9</v>
      </c>
    </row>
    <row r="916" spans="1:7" x14ac:dyDescent="0.25">
      <c r="A916" t="s">
        <v>7</v>
      </c>
      <c r="B916" t="s">
        <v>11</v>
      </c>
      <c r="C916" s="1">
        <v>43698</v>
      </c>
      <c r="D916">
        <v>2019</v>
      </c>
      <c r="E916">
        <v>8</v>
      </c>
      <c r="F916">
        <v>5.4741565679999997</v>
      </c>
      <c r="G916" t="s">
        <v>9</v>
      </c>
    </row>
    <row r="917" spans="1:7" x14ac:dyDescent="0.25">
      <c r="A917" t="s">
        <v>7</v>
      </c>
      <c r="B917" t="s">
        <v>11</v>
      </c>
      <c r="C917" s="1">
        <v>43700</v>
      </c>
      <c r="D917">
        <v>2019</v>
      </c>
      <c r="E917">
        <v>8</v>
      </c>
      <c r="F917">
        <v>23.774363229999999</v>
      </c>
      <c r="G917" t="s">
        <v>9</v>
      </c>
    </row>
    <row r="918" spans="1:7" x14ac:dyDescent="0.25">
      <c r="A918" t="s">
        <v>7</v>
      </c>
      <c r="B918" t="s">
        <v>11</v>
      </c>
      <c r="C918" s="1">
        <v>43711</v>
      </c>
      <c r="D918">
        <v>2019</v>
      </c>
      <c r="E918">
        <v>9</v>
      </c>
      <c r="F918">
        <v>4.4372612999999998E-2</v>
      </c>
      <c r="G918" t="s">
        <v>9</v>
      </c>
    </row>
    <row r="919" spans="1:7" x14ac:dyDescent="0.25">
      <c r="A919" t="s">
        <v>7</v>
      </c>
      <c r="B919" t="s">
        <v>11</v>
      </c>
      <c r="C919" s="1">
        <v>43713</v>
      </c>
      <c r="D919">
        <v>2019</v>
      </c>
      <c r="E919">
        <v>9</v>
      </c>
      <c r="F919">
        <v>1.5090083569999999</v>
      </c>
      <c r="G919" t="s">
        <v>9</v>
      </c>
    </row>
    <row r="920" spans="1:7" x14ac:dyDescent="0.25">
      <c r="A920" t="s">
        <v>7</v>
      </c>
      <c r="B920" t="s">
        <v>11</v>
      </c>
      <c r="C920" s="1">
        <v>43715</v>
      </c>
      <c r="D920">
        <v>2019</v>
      </c>
      <c r="E920">
        <v>9</v>
      </c>
      <c r="F920">
        <v>0</v>
      </c>
      <c r="G920" t="s">
        <v>9</v>
      </c>
    </row>
    <row r="921" spans="1:7" x14ac:dyDescent="0.25">
      <c r="A921" t="s">
        <v>7</v>
      </c>
      <c r="B921" t="s">
        <v>11</v>
      </c>
      <c r="C921" s="1">
        <v>43721</v>
      </c>
      <c r="D921">
        <v>2019</v>
      </c>
      <c r="E921">
        <v>9</v>
      </c>
      <c r="F921">
        <v>4.4139799670000004</v>
      </c>
      <c r="G921" t="s">
        <v>9</v>
      </c>
    </row>
    <row r="922" spans="1:7" x14ac:dyDescent="0.25">
      <c r="A922" t="s">
        <v>7</v>
      </c>
      <c r="B922" t="s">
        <v>11</v>
      </c>
      <c r="C922" s="1">
        <v>43726</v>
      </c>
      <c r="D922">
        <v>2019</v>
      </c>
      <c r="E922">
        <v>9</v>
      </c>
      <c r="F922">
        <v>32.593219329999997</v>
      </c>
      <c r="G922" t="s">
        <v>9</v>
      </c>
    </row>
    <row r="923" spans="1:7" x14ac:dyDescent="0.25">
      <c r="A923" t="s">
        <v>7</v>
      </c>
      <c r="B923" t="s">
        <v>11</v>
      </c>
      <c r="C923" s="1">
        <v>43729</v>
      </c>
      <c r="D923">
        <v>2019</v>
      </c>
      <c r="E923">
        <v>9</v>
      </c>
      <c r="F923">
        <v>0.102779131</v>
      </c>
      <c r="G923" t="s">
        <v>9</v>
      </c>
    </row>
    <row r="924" spans="1:7" x14ac:dyDescent="0.25">
      <c r="A924" t="s">
        <v>7</v>
      </c>
      <c r="B924" t="s">
        <v>11</v>
      </c>
      <c r="C924" s="1">
        <v>43738</v>
      </c>
      <c r="D924">
        <v>2019</v>
      </c>
      <c r="E924">
        <v>9</v>
      </c>
      <c r="F924">
        <v>32.057342329999997</v>
      </c>
      <c r="G924" t="s">
        <v>9</v>
      </c>
    </row>
    <row r="925" spans="1:7" x14ac:dyDescent="0.25">
      <c r="A925" t="s">
        <v>7</v>
      </c>
      <c r="B925" t="s">
        <v>11</v>
      </c>
      <c r="C925" s="1">
        <v>43749</v>
      </c>
      <c r="D925">
        <v>2019</v>
      </c>
      <c r="E925">
        <v>10</v>
      </c>
      <c r="F925">
        <v>0</v>
      </c>
      <c r="G925" t="s">
        <v>9</v>
      </c>
    </row>
    <row r="926" spans="1:7" x14ac:dyDescent="0.25">
      <c r="A926" t="s">
        <v>7</v>
      </c>
      <c r="B926" t="s">
        <v>11</v>
      </c>
      <c r="C926" s="1">
        <v>43751</v>
      </c>
      <c r="D926">
        <v>2019</v>
      </c>
      <c r="E926">
        <v>10</v>
      </c>
      <c r="F926">
        <v>2.8000491999999998E-2</v>
      </c>
      <c r="G926" t="s">
        <v>9</v>
      </c>
    </row>
    <row r="927" spans="1:7" x14ac:dyDescent="0.25">
      <c r="A927" t="s">
        <v>7</v>
      </c>
      <c r="B927" t="s">
        <v>11</v>
      </c>
      <c r="C927" s="1">
        <v>43752</v>
      </c>
      <c r="D927">
        <v>2019</v>
      </c>
      <c r="E927">
        <v>10</v>
      </c>
      <c r="F927">
        <v>1.45665136</v>
      </c>
      <c r="G927" t="s">
        <v>9</v>
      </c>
    </row>
    <row r="928" spans="1:7" x14ac:dyDescent="0.25">
      <c r="A928" t="s">
        <v>7</v>
      </c>
      <c r="B928" t="s">
        <v>11</v>
      </c>
      <c r="C928" s="1">
        <v>43755</v>
      </c>
      <c r="D928">
        <v>2019</v>
      </c>
      <c r="E928">
        <v>10</v>
      </c>
      <c r="F928">
        <v>42.622583740000003</v>
      </c>
      <c r="G928" t="s">
        <v>9</v>
      </c>
    </row>
    <row r="929" spans="1:7" x14ac:dyDescent="0.25">
      <c r="A929" t="s">
        <v>7</v>
      </c>
      <c r="B929" t="s">
        <v>11</v>
      </c>
      <c r="C929" s="1">
        <v>43762</v>
      </c>
      <c r="D929">
        <v>2019</v>
      </c>
      <c r="E929">
        <v>10</v>
      </c>
      <c r="F929">
        <v>21.04420142</v>
      </c>
      <c r="G929" t="s">
        <v>9</v>
      </c>
    </row>
    <row r="930" spans="1:7" x14ac:dyDescent="0.25">
      <c r="A930" t="s">
        <v>7</v>
      </c>
      <c r="B930" t="s">
        <v>11</v>
      </c>
      <c r="C930" s="1">
        <v>43761</v>
      </c>
      <c r="D930">
        <v>2019</v>
      </c>
      <c r="E930">
        <v>10</v>
      </c>
      <c r="F930">
        <v>0.53352147400000005</v>
      </c>
      <c r="G930" t="s">
        <v>9</v>
      </c>
    </row>
    <row r="931" spans="1:7" x14ac:dyDescent="0.25">
      <c r="A931" t="s">
        <v>7</v>
      </c>
      <c r="B931" t="s">
        <v>11</v>
      </c>
      <c r="C931" s="1">
        <v>43765</v>
      </c>
      <c r="D931">
        <v>2019</v>
      </c>
      <c r="E931">
        <v>10</v>
      </c>
      <c r="F931">
        <v>0.67034439400000001</v>
      </c>
      <c r="G931" t="s">
        <v>9</v>
      </c>
    </row>
    <row r="932" spans="1:7" x14ac:dyDescent="0.25">
      <c r="A932" t="s">
        <v>7</v>
      </c>
      <c r="B932" t="s">
        <v>11</v>
      </c>
      <c r="C932" s="1">
        <v>43770</v>
      </c>
      <c r="D932">
        <v>2019</v>
      </c>
      <c r="E932">
        <v>11</v>
      </c>
      <c r="F932">
        <v>1.8222590009999999</v>
      </c>
      <c r="G932" t="s">
        <v>9</v>
      </c>
    </row>
    <row r="933" spans="1:7" x14ac:dyDescent="0.25">
      <c r="A933" t="s">
        <v>7</v>
      </c>
      <c r="B933" t="s">
        <v>11</v>
      </c>
      <c r="C933" s="1">
        <v>43773</v>
      </c>
      <c r="D933">
        <v>2019</v>
      </c>
      <c r="E933">
        <v>11</v>
      </c>
      <c r="F933">
        <v>0.20972518900000001</v>
      </c>
      <c r="G933" t="s">
        <v>9</v>
      </c>
    </row>
    <row r="934" spans="1:7" x14ac:dyDescent="0.25">
      <c r="A934" t="s">
        <v>7</v>
      </c>
      <c r="B934" t="s">
        <v>11</v>
      </c>
      <c r="C934" s="1">
        <v>43780</v>
      </c>
      <c r="D934">
        <v>2019</v>
      </c>
      <c r="E934">
        <v>11</v>
      </c>
      <c r="F934">
        <v>0</v>
      </c>
      <c r="G934" t="s">
        <v>9</v>
      </c>
    </row>
    <row r="935" spans="1:7" x14ac:dyDescent="0.25">
      <c r="A935" t="s">
        <v>7</v>
      </c>
      <c r="B935" t="s">
        <v>11</v>
      </c>
      <c r="C935" s="1">
        <v>43781</v>
      </c>
      <c r="D935">
        <v>2019</v>
      </c>
      <c r="E935">
        <v>11</v>
      </c>
      <c r="F935">
        <v>0.56945596399999998</v>
      </c>
      <c r="G935" t="s">
        <v>9</v>
      </c>
    </row>
    <row r="936" spans="1:7" x14ac:dyDescent="0.25">
      <c r="A936" t="s">
        <v>7</v>
      </c>
      <c r="B936" t="s">
        <v>11</v>
      </c>
      <c r="C936" s="1">
        <v>43788</v>
      </c>
      <c r="D936">
        <v>2019</v>
      </c>
      <c r="E936">
        <v>11</v>
      </c>
      <c r="F936">
        <v>10.34708833</v>
      </c>
      <c r="G936" t="s">
        <v>9</v>
      </c>
    </row>
    <row r="937" spans="1:7" x14ac:dyDescent="0.25">
      <c r="A937" t="s">
        <v>7</v>
      </c>
      <c r="B937" t="s">
        <v>11</v>
      </c>
      <c r="C937" s="1">
        <v>43791</v>
      </c>
      <c r="D937">
        <v>2019</v>
      </c>
      <c r="E937">
        <v>11</v>
      </c>
      <c r="F937">
        <v>26.459544489999999</v>
      </c>
      <c r="G937" t="s">
        <v>9</v>
      </c>
    </row>
    <row r="938" spans="1:7" x14ac:dyDescent="0.25">
      <c r="A938" t="s">
        <v>7</v>
      </c>
      <c r="B938" t="s">
        <v>11</v>
      </c>
      <c r="C938" s="1">
        <v>43793</v>
      </c>
      <c r="D938">
        <v>2019</v>
      </c>
      <c r="E938">
        <v>11</v>
      </c>
      <c r="F938">
        <v>54.617709560000002</v>
      </c>
      <c r="G938" t="s">
        <v>9</v>
      </c>
    </row>
    <row r="939" spans="1:7" x14ac:dyDescent="0.25">
      <c r="A939" t="s">
        <v>7</v>
      </c>
      <c r="B939" t="s">
        <v>11</v>
      </c>
      <c r="C939" s="1">
        <v>43807</v>
      </c>
      <c r="D939">
        <v>2019</v>
      </c>
      <c r="E939">
        <v>12</v>
      </c>
      <c r="F939">
        <v>20.90471934</v>
      </c>
      <c r="G939" t="s">
        <v>9</v>
      </c>
    </row>
    <row r="940" spans="1:7" x14ac:dyDescent="0.25">
      <c r="A940" t="s">
        <v>7</v>
      </c>
      <c r="B940" t="s">
        <v>11</v>
      </c>
      <c r="C940" s="1">
        <v>43808</v>
      </c>
      <c r="D940">
        <v>2019</v>
      </c>
      <c r="E940">
        <v>12</v>
      </c>
      <c r="F940">
        <v>0</v>
      </c>
      <c r="G940" t="s">
        <v>9</v>
      </c>
    </row>
    <row r="941" spans="1:7" x14ac:dyDescent="0.25">
      <c r="A941" t="s">
        <v>7</v>
      </c>
      <c r="B941" t="s">
        <v>11</v>
      </c>
      <c r="C941" s="1">
        <v>43813</v>
      </c>
      <c r="D941">
        <v>2019</v>
      </c>
      <c r="E941">
        <v>12</v>
      </c>
      <c r="F941">
        <v>36.936681380000003</v>
      </c>
      <c r="G941" t="s">
        <v>9</v>
      </c>
    </row>
    <row r="942" spans="1:7" x14ac:dyDescent="0.25">
      <c r="A942" t="s">
        <v>7</v>
      </c>
      <c r="B942" t="s">
        <v>11</v>
      </c>
      <c r="C942" s="1">
        <v>43823</v>
      </c>
      <c r="D942">
        <v>2019</v>
      </c>
      <c r="E942">
        <v>12</v>
      </c>
      <c r="F942">
        <v>0</v>
      </c>
      <c r="G942" t="s">
        <v>9</v>
      </c>
    </row>
    <row r="943" spans="1:7" x14ac:dyDescent="0.25">
      <c r="A943" t="s">
        <v>7</v>
      </c>
      <c r="B943" t="s">
        <v>11</v>
      </c>
      <c r="C943" s="1">
        <v>43830</v>
      </c>
      <c r="D943">
        <v>2019</v>
      </c>
      <c r="E943">
        <v>12</v>
      </c>
      <c r="F943">
        <v>8.3363185790000003</v>
      </c>
      <c r="G943" t="s">
        <v>9</v>
      </c>
    </row>
    <row r="944" spans="1:7" x14ac:dyDescent="0.25">
      <c r="A944" t="s">
        <v>7</v>
      </c>
      <c r="B944" t="s">
        <v>11</v>
      </c>
      <c r="C944" s="1">
        <v>43829</v>
      </c>
      <c r="D944">
        <v>2019</v>
      </c>
      <c r="E944">
        <v>12</v>
      </c>
      <c r="F944">
        <v>1.776880561</v>
      </c>
      <c r="G944" t="s">
        <v>9</v>
      </c>
    </row>
    <row r="945" spans="1:7" x14ac:dyDescent="0.25">
      <c r="A945" t="s">
        <v>7</v>
      </c>
      <c r="B945" t="s">
        <v>12</v>
      </c>
      <c r="C945" s="1">
        <v>43468</v>
      </c>
      <c r="D945">
        <v>2019</v>
      </c>
      <c r="E945">
        <v>1</v>
      </c>
      <c r="F945">
        <v>0</v>
      </c>
      <c r="G945" t="s">
        <v>9</v>
      </c>
    </row>
    <row r="946" spans="1:7" x14ac:dyDescent="0.25">
      <c r="A946" t="s">
        <v>7</v>
      </c>
      <c r="B946" t="s">
        <v>12</v>
      </c>
      <c r="C946" s="1">
        <v>43479</v>
      </c>
      <c r="D946">
        <v>2019</v>
      </c>
      <c r="E946">
        <v>1</v>
      </c>
      <c r="F946">
        <v>0</v>
      </c>
      <c r="G946" t="s">
        <v>9</v>
      </c>
    </row>
    <row r="947" spans="1:7" x14ac:dyDescent="0.25">
      <c r="A947" t="s">
        <v>7</v>
      </c>
      <c r="B947" t="s">
        <v>12</v>
      </c>
      <c r="C947" s="1">
        <v>43480</v>
      </c>
      <c r="D947">
        <v>2019</v>
      </c>
      <c r="E947">
        <v>1</v>
      </c>
      <c r="F947">
        <v>0</v>
      </c>
      <c r="G947" t="s">
        <v>9</v>
      </c>
    </row>
    <row r="948" spans="1:7" x14ac:dyDescent="0.25">
      <c r="A948" t="s">
        <v>7</v>
      </c>
      <c r="B948" t="s">
        <v>12</v>
      </c>
      <c r="C948" s="1">
        <v>43481</v>
      </c>
      <c r="D948">
        <v>2019</v>
      </c>
      <c r="E948">
        <v>1</v>
      </c>
      <c r="F948">
        <v>0</v>
      </c>
      <c r="G948" t="s">
        <v>9</v>
      </c>
    </row>
    <row r="949" spans="1:7" x14ac:dyDescent="0.25">
      <c r="A949" t="s">
        <v>7</v>
      </c>
      <c r="B949" t="s">
        <v>12</v>
      </c>
      <c r="C949" s="1">
        <v>43485</v>
      </c>
      <c r="D949">
        <v>2019</v>
      </c>
      <c r="E949">
        <v>1</v>
      </c>
      <c r="F949">
        <v>0</v>
      </c>
      <c r="G949" t="s">
        <v>9</v>
      </c>
    </row>
    <row r="950" spans="1:7" x14ac:dyDescent="0.25">
      <c r="A950" t="s">
        <v>7</v>
      </c>
      <c r="B950" t="s">
        <v>12</v>
      </c>
      <c r="C950" s="1">
        <v>43489</v>
      </c>
      <c r="D950">
        <v>2019</v>
      </c>
      <c r="E950">
        <v>1</v>
      </c>
      <c r="F950">
        <v>0</v>
      </c>
      <c r="G950" t="s">
        <v>9</v>
      </c>
    </row>
    <row r="951" spans="1:7" x14ac:dyDescent="0.25">
      <c r="A951" t="s">
        <v>7</v>
      </c>
      <c r="B951" t="s">
        <v>12</v>
      </c>
      <c r="C951" s="1">
        <v>43492</v>
      </c>
      <c r="D951">
        <v>2019</v>
      </c>
      <c r="E951">
        <v>1</v>
      </c>
      <c r="F951">
        <v>0</v>
      </c>
      <c r="G951" t="s">
        <v>9</v>
      </c>
    </row>
    <row r="952" spans="1:7" x14ac:dyDescent="0.25">
      <c r="A952" t="s">
        <v>7</v>
      </c>
      <c r="B952" t="s">
        <v>12</v>
      </c>
      <c r="C952" s="1">
        <v>43493</v>
      </c>
      <c r="D952">
        <v>2019</v>
      </c>
      <c r="E952">
        <v>1</v>
      </c>
      <c r="F952">
        <v>0</v>
      </c>
      <c r="G952" t="s">
        <v>9</v>
      </c>
    </row>
    <row r="953" spans="1:7" x14ac:dyDescent="0.25">
      <c r="A953" t="s">
        <v>7</v>
      </c>
      <c r="B953" t="s">
        <v>12</v>
      </c>
      <c r="C953" s="1">
        <v>43497</v>
      </c>
      <c r="D953">
        <v>2019</v>
      </c>
      <c r="E953">
        <v>2</v>
      </c>
      <c r="F953">
        <v>0</v>
      </c>
      <c r="G953" t="s">
        <v>9</v>
      </c>
    </row>
    <row r="954" spans="1:7" x14ac:dyDescent="0.25">
      <c r="A954" t="s">
        <v>7</v>
      </c>
      <c r="B954" t="s">
        <v>12</v>
      </c>
      <c r="C954" s="1">
        <v>43499</v>
      </c>
      <c r="D954">
        <v>2019</v>
      </c>
      <c r="E954">
        <v>2</v>
      </c>
      <c r="F954">
        <v>0</v>
      </c>
      <c r="G954" t="s">
        <v>9</v>
      </c>
    </row>
    <row r="955" spans="1:7" x14ac:dyDescent="0.25">
      <c r="A955" t="s">
        <v>7</v>
      </c>
      <c r="B955" t="s">
        <v>12</v>
      </c>
      <c r="C955" s="1">
        <v>43504</v>
      </c>
      <c r="D955">
        <v>2019</v>
      </c>
      <c r="E955">
        <v>2</v>
      </c>
      <c r="F955">
        <v>0</v>
      </c>
      <c r="G955" t="s">
        <v>9</v>
      </c>
    </row>
    <row r="956" spans="1:7" x14ac:dyDescent="0.25">
      <c r="A956" t="s">
        <v>7</v>
      </c>
      <c r="B956" t="s">
        <v>12</v>
      </c>
      <c r="C956" s="1">
        <v>43512</v>
      </c>
      <c r="D956">
        <v>2019</v>
      </c>
      <c r="E956">
        <v>2</v>
      </c>
      <c r="F956">
        <v>0</v>
      </c>
      <c r="G956" t="s">
        <v>9</v>
      </c>
    </row>
    <row r="957" spans="1:7" x14ac:dyDescent="0.25">
      <c r="A957" t="s">
        <v>7</v>
      </c>
      <c r="B957" t="s">
        <v>12</v>
      </c>
      <c r="C957" s="1">
        <v>43514</v>
      </c>
      <c r="D957">
        <v>2019</v>
      </c>
      <c r="E957">
        <v>2</v>
      </c>
      <c r="F957">
        <v>0</v>
      </c>
      <c r="G957" t="s">
        <v>9</v>
      </c>
    </row>
    <row r="958" spans="1:7" x14ac:dyDescent="0.25">
      <c r="A958" t="s">
        <v>7</v>
      </c>
      <c r="B958" t="s">
        <v>12</v>
      </c>
      <c r="C958" s="1">
        <v>43519</v>
      </c>
      <c r="D958">
        <v>2019</v>
      </c>
      <c r="E958">
        <v>2</v>
      </c>
      <c r="F958">
        <v>0</v>
      </c>
      <c r="G958" t="s">
        <v>9</v>
      </c>
    </row>
    <row r="959" spans="1:7" x14ac:dyDescent="0.25">
      <c r="A959" t="s">
        <v>7</v>
      </c>
      <c r="B959" t="s">
        <v>12</v>
      </c>
      <c r="C959" s="1">
        <v>43520</v>
      </c>
      <c r="D959">
        <v>2019</v>
      </c>
      <c r="E959">
        <v>2</v>
      </c>
      <c r="F959">
        <v>0</v>
      </c>
      <c r="G959" t="s">
        <v>9</v>
      </c>
    </row>
    <row r="960" spans="1:7" x14ac:dyDescent="0.25">
      <c r="A960" t="s">
        <v>7</v>
      </c>
      <c r="B960" t="s">
        <v>12</v>
      </c>
      <c r="C960" s="1">
        <v>43524</v>
      </c>
      <c r="D960">
        <v>2019</v>
      </c>
      <c r="E960">
        <v>2</v>
      </c>
      <c r="F960">
        <v>0</v>
      </c>
      <c r="G960" t="s">
        <v>9</v>
      </c>
    </row>
    <row r="961" spans="1:7" x14ac:dyDescent="0.25">
      <c r="A961" t="s">
        <v>7</v>
      </c>
      <c r="B961" t="s">
        <v>12</v>
      </c>
      <c r="C961" s="1">
        <v>43522</v>
      </c>
      <c r="D961">
        <v>2019</v>
      </c>
      <c r="E961">
        <v>2</v>
      </c>
      <c r="F961">
        <v>0</v>
      </c>
      <c r="G961" t="s">
        <v>9</v>
      </c>
    </row>
    <row r="962" spans="1:7" x14ac:dyDescent="0.25">
      <c r="A962" t="s">
        <v>7</v>
      </c>
      <c r="B962" t="s">
        <v>12</v>
      </c>
      <c r="C962" s="1">
        <v>43536</v>
      </c>
      <c r="D962">
        <v>2019</v>
      </c>
      <c r="E962">
        <v>3</v>
      </c>
      <c r="F962">
        <v>0</v>
      </c>
      <c r="G962" t="s">
        <v>9</v>
      </c>
    </row>
    <row r="963" spans="1:7" x14ac:dyDescent="0.25">
      <c r="A963" t="s">
        <v>7</v>
      </c>
      <c r="B963" t="s">
        <v>12</v>
      </c>
      <c r="C963" s="1">
        <v>43543</v>
      </c>
      <c r="D963">
        <v>2019</v>
      </c>
      <c r="E963">
        <v>3</v>
      </c>
      <c r="F963">
        <v>0</v>
      </c>
      <c r="G963" t="s">
        <v>9</v>
      </c>
    </row>
    <row r="964" spans="1:7" x14ac:dyDescent="0.25">
      <c r="A964" t="s">
        <v>7</v>
      </c>
      <c r="B964" t="s">
        <v>12</v>
      </c>
      <c r="C964" s="1">
        <v>43551</v>
      </c>
      <c r="D964">
        <v>2019</v>
      </c>
      <c r="E964">
        <v>3</v>
      </c>
      <c r="F964">
        <v>0</v>
      </c>
      <c r="G964" t="s">
        <v>9</v>
      </c>
    </row>
    <row r="965" spans="1:7" x14ac:dyDescent="0.25">
      <c r="A965" t="s">
        <v>7</v>
      </c>
      <c r="B965" t="s">
        <v>12</v>
      </c>
      <c r="C965" s="1">
        <v>43557</v>
      </c>
      <c r="D965">
        <v>2019</v>
      </c>
      <c r="E965">
        <v>4</v>
      </c>
      <c r="F965">
        <v>0</v>
      </c>
      <c r="G965" t="s">
        <v>9</v>
      </c>
    </row>
    <row r="966" spans="1:7" x14ac:dyDescent="0.25">
      <c r="A966" t="s">
        <v>7</v>
      </c>
      <c r="B966" t="s">
        <v>12</v>
      </c>
      <c r="C966" s="1">
        <v>43558</v>
      </c>
      <c r="D966">
        <v>2019</v>
      </c>
      <c r="E966">
        <v>4</v>
      </c>
      <c r="F966">
        <v>0</v>
      </c>
      <c r="G966" t="s">
        <v>9</v>
      </c>
    </row>
    <row r="967" spans="1:7" x14ac:dyDescent="0.25">
      <c r="A967" t="s">
        <v>7</v>
      </c>
      <c r="B967" t="s">
        <v>12</v>
      </c>
      <c r="C967" s="1">
        <v>43559</v>
      </c>
      <c r="D967">
        <v>2019</v>
      </c>
      <c r="E967">
        <v>4</v>
      </c>
      <c r="F967">
        <v>0</v>
      </c>
      <c r="G967" t="s">
        <v>9</v>
      </c>
    </row>
    <row r="968" spans="1:7" x14ac:dyDescent="0.25">
      <c r="A968" t="s">
        <v>7</v>
      </c>
      <c r="B968" t="s">
        <v>12</v>
      </c>
      <c r="C968" s="1">
        <v>43564</v>
      </c>
      <c r="D968">
        <v>2019</v>
      </c>
      <c r="E968">
        <v>4</v>
      </c>
      <c r="F968">
        <v>0</v>
      </c>
      <c r="G968" t="s">
        <v>9</v>
      </c>
    </row>
    <row r="969" spans="1:7" x14ac:dyDescent="0.25">
      <c r="A969" t="s">
        <v>7</v>
      </c>
      <c r="B969" t="s">
        <v>12</v>
      </c>
      <c r="C969" s="1">
        <v>43589</v>
      </c>
      <c r="D969">
        <v>2019</v>
      </c>
      <c r="E969">
        <v>5</v>
      </c>
      <c r="F969">
        <v>0</v>
      </c>
      <c r="G969" t="s">
        <v>9</v>
      </c>
    </row>
    <row r="970" spans="1:7" x14ac:dyDescent="0.25">
      <c r="A970" t="s">
        <v>7</v>
      </c>
      <c r="B970" t="s">
        <v>12</v>
      </c>
      <c r="C970" s="1">
        <v>43591</v>
      </c>
      <c r="D970">
        <v>2019</v>
      </c>
      <c r="E970">
        <v>5</v>
      </c>
      <c r="F970">
        <v>0</v>
      </c>
      <c r="G970" t="s">
        <v>9</v>
      </c>
    </row>
    <row r="971" spans="1:7" x14ac:dyDescent="0.25">
      <c r="A971" t="s">
        <v>7</v>
      </c>
      <c r="B971" t="s">
        <v>12</v>
      </c>
      <c r="C971" s="1">
        <v>43593</v>
      </c>
      <c r="D971">
        <v>2019</v>
      </c>
      <c r="E971">
        <v>5</v>
      </c>
      <c r="F971">
        <v>0</v>
      </c>
      <c r="G971" t="s">
        <v>9</v>
      </c>
    </row>
    <row r="972" spans="1:7" x14ac:dyDescent="0.25">
      <c r="A972" t="s">
        <v>7</v>
      </c>
      <c r="B972" t="s">
        <v>12</v>
      </c>
      <c r="C972" s="1">
        <v>43594</v>
      </c>
      <c r="D972">
        <v>2019</v>
      </c>
      <c r="E972">
        <v>5</v>
      </c>
      <c r="F972">
        <v>0</v>
      </c>
      <c r="G972" t="s">
        <v>9</v>
      </c>
    </row>
    <row r="973" spans="1:7" x14ac:dyDescent="0.25">
      <c r="A973" t="s">
        <v>7</v>
      </c>
      <c r="B973" t="s">
        <v>12</v>
      </c>
      <c r="C973" s="1">
        <v>43595</v>
      </c>
      <c r="D973">
        <v>2019</v>
      </c>
      <c r="E973">
        <v>5</v>
      </c>
      <c r="F973">
        <v>0</v>
      </c>
      <c r="G973" t="s">
        <v>9</v>
      </c>
    </row>
    <row r="974" spans="1:7" x14ac:dyDescent="0.25">
      <c r="A974" t="s">
        <v>7</v>
      </c>
      <c r="B974" t="s">
        <v>10</v>
      </c>
      <c r="C974" s="1">
        <v>43771</v>
      </c>
      <c r="D974">
        <v>2019</v>
      </c>
      <c r="E974">
        <v>11</v>
      </c>
      <c r="F974">
        <v>4.1441493029999998</v>
      </c>
      <c r="G974" t="s">
        <v>9</v>
      </c>
    </row>
    <row r="975" spans="1:7" x14ac:dyDescent="0.25">
      <c r="A975" t="s">
        <v>7</v>
      </c>
      <c r="B975" t="s">
        <v>10</v>
      </c>
      <c r="C975" s="1">
        <v>43775</v>
      </c>
      <c r="D975">
        <v>2019</v>
      </c>
      <c r="E975">
        <v>11</v>
      </c>
      <c r="F975">
        <v>0</v>
      </c>
      <c r="G975" t="s">
        <v>9</v>
      </c>
    </row>
    <row r="976" spans="1:7" x14ac:dyDescent="0.25">
      <c r="A976" t="s">
        <v>7</v>
      </c>
      <c r="B976" t="s">
        <v>10</v>
      </c>
      <c r="C976" s="1">
        <v>43776</v>
      </c>
      <c r="D976">
        <v>2019</v>
      </c>
      <c r="E976">
        <v>11</v>
      </c>
      <c r="F976">
        <v>0</v>
      </c>
      <c r="G976" t="s">
        <v>9</v>
      </c>
    </row>
    <row r="977" spans="1:7" x14ac:dyDescent="0.25">
      <c r="A977" t="s">
        <v>7</v>
      </c>
      <c r="B977" t="s">
        <v>10</v>
      </c>
      <c r="C977" s="1">
        <v>43778</v>
      </c>
      <c r="D977">
        <v>2019</v>
      </c>
      <c r="E977">
        <v>11</v>
      </c>
      <c r="F977">
        <v>0</v>
      </c>
      <c r="G977" t="s">
        <v>9</v>
      </c>
    </row>
    <row r="978" spans="1:7" x14ac:dyDescent="0.25">
      <c r="A978" t="s">
        <v>7</v>
      </c>
      <c r="B978" t="s">
        <v>10</v>
      </c>
      <c r="C978" s="1">
        <v>43781</v>
      </c>
      <c r="D978">
        <v>2019</v>
      </c>
      <c r="E978">
        <v>11</v>
      </c>
      <c r="F978">
        <v>0</v>
      </c>
      <c r="G978" t="s">
        <v>9</v>
      </c>
    </row>
    <row r="979" spans="1:7" x14ac:dyDescent="0.25">
      <c r="A979" t="s">
        <v>7</v>
      </c>
      <c r="B979" t="s">
        <v>10</v>
      </c>
      <c r="C979" s="1">
        <v>43782</v>
      </c>
      <c r="D979">
        <v>2019</v>
      </c>
      <c r="E979">
        <v>11</v>
      </c>
      <c r="F979">
        <v>0</v>
      </c>
      <c r="G979" t="s">
        <v>9</v>
      </c>
    </row>
    <row r="980" spans="1:7" x14ac:dyDescent="0.25">
      <c r="A980" t="s">
        <v>7</v>
      </c>
      <c r="B980" t="s">
        <v>10</v>
      </c>
      <c r="C980" s="1">
        <v>43791</v>
      </c>
      <c r="D980">
        <v>2019</v>
      </c>
      <c r="E980">
        <v>11</v>
      </c>
      <c r="F980">
        <v>0</v>
      </c>
      <c r="G980" t="s">
        <v>9</v>
      </c>
    </row>
    <row r="981" spans="1:7" x14ac:dyDescent="0.25">
      <c r="A981" t="s">
        <v>7</v>
      </c>
      <c r="B981" t="s">
        <v>10</v>
      </c>
      <c r="C981" s="1">
        <v>43794</v>
      </c>
      <c r="D981">
        <v>2019</v>
      </c>
      <c r="E981">
        <v>11</v>
      </c>
      <c r="F981">
        <v>0</v>
      </c>
      <c r="G981" t="s">
        <v>9</v>
      </c>
    </row>
    <row r="982" spans="1:7" x14ac:dyDescent="0.25">
      <c r="A982" t="s">
        <v>7</v>
      </c>
      <c r="B982" t="s">
        <v>10</v>
      </c>
      <c r="C982" s="1">
        <v>43795</v>
      </c>
      <c r="D982">
        <v>2019</v>
      </c>
      <c r="E982">
        <v>11</v>
      </c>
      <c r="F982">
        <v>0</v>
      </c>
      <c r="G982" t="s">
        <v>9</v>
      </c>
    </row>
    <row r="983" spans="1:7" x14ac:dyDescent="0.25">
      <c r="A983" t="s">
        <v>7</v>
      </c>
      <c r="B983" t="s">
        <v>10</v>
      </c>
      <c r="C983" s="1">
        <v>43797</v>
      </c>
      <c r="D983">
        <v>2019</v>
      </c>
      <c r="E983">
        <v>11</v>
      </c>
      <c r="F983">
        <v>0</v>
      </c>
      <c r="G983" t="s">
        <v>9</v>
      </c>
    </row>
    <row r="984" spans="1:7" x14ac:dyDescent="0.25">
      <c r="A984" t="s">
        <v>7</v>
      </c>
      <c r="B984" t="s">
        <v>10</v>
      </c>
      <c r="C984" s="1">
        <v>43802</v>
      </c>
      <c r="D984">
        <v>2019</v>
      </c>
      <c r="E984">
        <v>12</v>
      </c>
      <c r="F984">
        <v>0</v>
      </c>
      <c r="G984" t="s">
        <v>9</v>
      </c>
    </row>
    <row r="985" spans="1:7" x14ac:dyDescent="0.25">
      <c r="A985" t="s">
        <v>7</v>
      </c>
      <c r="B985" t="s">
        <v>10</v>
      </c>
      <c r="C985" s="1">
        <v>43804</v>
      </c>
      <c r="D985">
        <v>2019</v>
      </c>
      <c r="E985">
        <v>12</v>
      </c>
      <c r="F985">
        <v>0</v>
      </c>
      <c r="G985" t="s">
        <v>9</v>
      </c>
    </row>
    <row r="986" spans="1:7" x14ac:dyDescent="0.25">
      <c r="A986" t="s">
        <v>7</v>
      </c>
      <c r="B986" t="s">
        <v>10</v>
      </c>
      <c r="C986" s="1">
        <v>43810</v>
      </c>
      <c r="D986">
        <v>2019</v>
      </c>
      <c r="E986">
        <v>12</v>
      </c>
      <c r="F986">
        <v>0</v>
      </c>
      <c r="G986" t="s">
        <v>9</v>
      </c>
    </row>
    <row r="987" spans="1:7" x14ac:dyDescent="0.25">
      <c r="A987" t="s">
        <v>7</v>
      </c>
      <c r="B987" t="s">
        <v>10</v>
      </c>
      <c r="C987" s="1">
        <v>43813</v>
      </c>
      <c r="D987">
        <v>2019</v>
      </c>
      <c r="E987">
        <v>12</v>
      </c>
      <c r="F987">
        <v>0</v>
      </c>
      <c r="G987" t="s">
        <v>9</v>
      </c>
    </row>
    <row r="988" spans="1:7" x14ac:dyDescent="0.25">
      <c r="A988" t="s">
        <v>7</v>
      </c>
      <c r="B988" t="s">
        <v>10</v>
      </c>
      <c r="C988" s="1">
        <v>43822</v>
      </c>
      <c r="D988">
        <v>2019</v>
      </c>
      <c r="E988">
        <v>12</v>
      </c>
      <c r="F988">
        <v>0</v>
      </c>
      <c r="G988" t="s">
        <v>9</v>
      </c>
    </row>
    <row r="989" spans="1:7" x14ac:dyDescent="0.25">
      <c r="A989" t="s">
        <v>7</v>
      </c>
      <c r="B989" t="s">
        <v>10</v>
      </c>
      <c r="C989" s="1">
        <v>43823</v>
      </c>
      <c r="D989">
        <v>2019</v>
      </c>
      <c r="E989">
        <v>12</v>
      </c>
      <c r="F989">
        <v>0</v>
      </c>
      <c r="G989" t="s">
        <v>9</v>
      </c>
    </row>
    <row r="990" spans="1:7" x14ac:dyDescent="0.25">
      <c r="A990" t="s">
        <v>7</v>
      </c>
      <c r="B990" t="s">
        <v>10</v>
      </c>
      <c r="C990" s="1">
        <v>43825</v>
      </c>
      <c r="D990">
        <v>2019</v>
      </c>
      <c r="E990">
        <v>12</v>
      </c>
      <c r="F990">
        <v>0</v>
      </c>
      <c r="G990" t="s">
        <v>9</v>
      </c>
    </row>
    <row r="991" spans="1:7" x14ac:dyDescent="0.25">
      <c r="A991" t="s">
        <v>7</v>
      </c>
      <c r="B991" t="s">
        <v>10</v>
      </c>
      <c r="C991" s="1">
        <v>43829</v>
      </c>
      <c r="D991">
        <v>2019</v>
      </c>
      <c r="E991">
        <v>12</v>
      </c>
      <c r="F991">
        <v>0</v>
      </c>
      <c r="G991" t="s">
        <v>9</v>
      </c>
    </row>
    <row r="992" spans="1:7" x14ac:dyDescent="0.25">
      <c r="A992" t="s">
        <v>7</v>
      </c>
      <c r="B992" t="s">
        <v>12</v>
      </c>
      <c r="C992" s="1">
        <v>43597</v>
      </c>
      <c r="D992">
        <v>2019</v>
      </c>
      <c r="E992">
        <v>5</v>
      </c>
      <c r="F992">
        <v>0</v>
      </c>
      <c r="G992" t="s">
        <v>9</v>
      </c>
    </row>
    <row r="993" spans="1:7" x14ac:dyDescent="0.25">
      <c r="A993" t="s">
        <v>7</v>
      </c>
      <c r="B993" t="s">
        <v>12</v>
      </c>
      <c r="C993" s="1">
        <v>43599</v>
      </c>
      <c r="D993">
        <v>2019</v>
      </c>
      <c r="E993">
        <v>5</v>
      </c>
      <c r="F993">
        <v>0</v>
      </c>
      <c r="G993" t="s">
        <v>9</v>
      </c>
    </row>
    <row r="994" spans="1:7" x14ac:dyDescent="0.25">
      <c r="A994" t="s">
        <v>7</v>
      </c>
      <c r="B994" t="s">
        <v>12</v>
      </c>
      <c r="C994" s="1">
        <v>43605</v>
      </c>
      <c r="D994">
        <v>2019</v>
      </c>
      <c r="E994">
        <v>5</v>
      </c>
      <c r="F994">
        <v>0</v>
      </c>
      <c r="G994" t="s">
        <v>9</v>
      </c>
    </row>
    <row r="995" spans="1:7" x14ac:dyDescent="0.25">
      <c r="A995" t="s">
        <v>7</v>
      </c>
      <c r="B995" t="s">
        <v>12</v>
      </c>
      <c r="C995" s="1">
        <v>43607</v>
      </c>
      <c r="D995">
        <v>2019</v>
      </c>
      <c r="E995">
        <v>5</v>
      </c>
      <c r="F995">
        <v>0</v>
      </c>
      <c r="G995" t="s">
        <v>9</v>
      </c>
    </row>
    <row r="996" spans="1:7" x14ac:dyDescent="0.25">
      <c r="A996" t="s">
        <v>7</v>
      </c>
      <c r="B996" t="s">
        <v>12</v>
      </c>
      <c r="C996" s="1">
        <v>43617</v>
      </c>
      <c r="D996">
        <v>2019</v>
      </c>
      <c r="E996">
        <v>6</v>
      </c>
      <c r="F996">
        <v>16.846754069999999</v>
      </c>
      <c r="G996" t="s">
        <v>9</v>
      </c>
    </row>
    <row r="997" spans="1:7" x14ac:dyDescent="0.25">
      <c r="A997" t="s">
        <v>7</v>
      </c>
      <c r="B997" t="s">
        <v>12</v>
      </c>
      <c r="C997" s="1">
        <v>43618</v>
      </c>
      <c r="D997">
        <v>2019</v>
      </c>
      <c r="E997">
        <v>6</v>
      </c>
      <c r="F997">
        <v>13.827850339999999</v>
      </c>
      <c r="G997" t="s">
        <v>9</v>
      </c>
    </row>
    <row r="998" spans="1:7" x14ac:dyDescent="0.25">
      <c r="A998" t="s">
        <v>7</v>
      </c>
      <c r="B998" t="s">
        <v>12</v>
      </c>
      <c r="C998" s="1">
        <v>43622</v>
      </c>
      <c r="D998">
        <v>2019</v>
      </c>
      <c r="E998">
        <v>6</v>
      </c>
      <c r="F998">
        <v>44.148200989999999</v>
      </c>
      <c r="G998" t="s">
        <v>9</v>
      </c>
    </row>
    <row r="999" spans="1:7" x14ac:dyDescent="0.25">
      <c r="A999" t="s">
        <v>7</v>
      </c>
      <c r="B999" t="s">
        <v>12</v>
      </c>
      <c r="C999" s="1">
        <v>43631</v>
      </c>
      <c r="D999">
        <v>2019</v>
      </c>
      <c r="E999">
        <v>6</v>
      </c>
      <c r="F999">
        <v>35.803829190000002</v>
      </c>
      <c r="G999" t="s">
        <v>9</v>
      </c>
    </row>
    <row r="1000" spans="1:7" x14ac:dyDescent="0.25">
      <c r="A1000" t="s">
        <v>7</v>
      </c>
      <c r="B1000" t="s">
        <v>12</v>
      </c>
      <c r="C1000" s="1">
        <v>43652</v>
      </c>
      <c r="D1000">
        <v>2019</v>
      </c>
      <c r="E1000">
        <v>7</v>
      </c>
      <c r="F1000">
        <v>61.756500240000001</v>
      </c>
      <c r="G1000" t="s">
        <v>9</v>
      </c>
    </row>
    <row r="1001" spans="1:7" x14ac:dyDescent="0.25">
      <c r="A1001" t="s">
        <v>7</v>
      </c>
      <c r="B1001" t="s">
        <v>12</v>
      </c>
      <c r="C1001" s="1">
        <v>43660</v>
      </c>
      <c r="D1001">
        <v>2019</v>
      </c>
      <c r="E1001">
        <v>7</v>
      </c>
      <c r="F1001">
        <v>6.3353929520000003</v>
      </c>
      <c r="G1001" t="s">
        <v>9</v>
      </c>
    </row>
    <row r="1002" spans="1:7" x14ac:dyDescent="0.25">
      <c r="A1002" t="s">
        <v>7</v>
      </c>
      <c r="B1002" t="s">
        <v>12</v>
      </c>
      <c r="C1002" s="1">
        <v>43665</v>
      </c>
      <c r="D1002">
        <v>2019</v>
      </c>
      <c r="E1002">
        <v>7</v>
      </c>
      <c r="F1002">
        <v>67.073036189999996</v>
      </c>
      <c r="G1002" t="s">
        <v>9</v>
      </c>
    </row>
    <row r="1003" spans="1:7" x14ac:dyDescent="0.25">
      <c r="A1003" t="s">
        <v>7</v>
      </c>
      <c r="B1003" t="s">
        <v>12</v>
      </c>
      <c r="C1003" s="1">
        <v>43673</v>
      </c>
      <c r="D1003">
        <v>2019</v>
      </c>
      <c r="E1003">
        <v>7</v>
      </c>
      <c r="F1003">
        <v>3.5151724820000001</v>
      </c>
      <c r="G1003" t="s">
        <v>9</v>
      </c>
    </row>
    <row r="1004" spans="1:7" x14ac:dyDescent="0.25">
      <c r="A1004" t="s">
        <v>7</v>
      </c>
      <c r="B1004" t="s">
        <v>12</v>
      </c>
      <c r="C1004" s="1">
        <v>43675</v>
      </c>
      <c r="D1004">
        <v>2019</v>
      </c>
      <c r="E1004">
        <v>7</v>
      </c>
      <c r="F1004">
        <v>25.57122421</v>
      </c>
      <c r="G1004" t="s">
        <v>9</v>
      </c>
    </row>
    <row r="1005" spans="1:7" x14ac:dyDescent="0.25">
      <c r="A1005" t="s">
        <v>7</v>
      </c>
      <c r="B1005" t="s">
        <v>12</v>
      </c>
      <c r="C1005" s="1">
        <v>43678</v>
      </c>
      <c r="D1005">
        <v>2019</v>
      </c>
      <c r="E1005">
        <v>8</v>
      </c>
      <c r="F1005">
        <v>6.8047018049999997</v>
      </c>
      <c r="G1005" t="s">
        <v>9</v>
      </c>
    </row>
    <row r="1006" spans="1:7" x14ac:dyDescent="0.25">
      <c r="A1006" t="s">
        <v>7</v>
      </c>
      <c r="B1006" t="s">
        <v>12</v>
      </c>
      <c r="C1006" s="1">
        <v>43681</v>
      </c>
      <c r="D1006">
        <v>2019</v>
      </c>
      <c r="E1006">
        <v>8</v>
      </c>
      <c r="F1006">
        <v>7.1678438189999998</v>
      </c>
      <c r="G1006" t="s">
        <v>9</v>
      </c>
    </row>
    <row r="1007" spans="1:7" x14ac:dyDescent="0.25">
      <c r="A1007" t="s">
        <v>7</v>
      </c>
      <c r="B1007" t="s">
        <v>12</v>
      </c>
      <c r="C1007" s="1">
        <v>43682</v>
      </c>
      <c r="D1007">
        <v>2019</v>
      </c>
      <c r="E1007">
        <v>8</v>
      </c>
      <c r="F1007">
        <v>38.598526</v>
      </c>
      <c r="G1007" t="s">
        <v>9</v>
      </c>
    </row>
    <row r="1008" spans="1:7" x14ac:dyDescent="0.25">
      <c r="A1008" t="s">
        <v>7</v>
      </c>
      <c r="B1008" t="s">
        <v>12</v>
      </c>
      <c r="C1008" s="1">
        <v>43698</v>
      </c>
      <c r="D1008">
        <v>2019</v>
      </c>
      <c r="E1008">
        <v>8</v>
      </c>
      <c r="F1008">
        <v>12.347963330000001</v>
      </c>
      <c r="G1008" t="s">
        <v>9</v>
      </c>
    </row>
    <row r="1009" spans="1:7" x14ac:dyDescent="0.25">
      <c r="A1009" t="s">
        <v>7</v>
      </c>
      <c r="B1009" t="s">
        <v>12</v>
      </c>
      <c r="C1009" s="1">
        <v>43701</v>
      </c>
      <c r="D1009">
        <v>2019</v>
      </c>
      <c r="E1009">
        <v>8</v>
      </c>
      <c r="F1009">
        <v>34.225437159999998</v>
      </c>
      <c r="G1009" t="s">
        <v>9</v>
      </c>
    </row>
    <row r="1010" spans="1:7" x14ac:dyDescent="0.25">
      <c r="A1010" t="s">
        <v>7</v>
      </c>
      <c r="B1010" t="s">
        <v>12</v>
      </c>
      <c r="C1010" s="1">
        <v>43705</v>
      </c>
      <c r="D1010">
        <v>2019</v>
      </c>
      <c r="E1010">
        <v>8</v>
      </c>
      <c r="F1010">
        <v>35.411769870000001</v>
      </c>
      <c r="G1010" t="s">
        <v>9</v>
      </c>
    </row>
    <row r="1011" spans="1:7" x14ac:dyDescent="0.25">
      <c r="A1011" t="s">
        <v>7</v>
      </c>
      <c r="B1011" t="s">
        <v>12</v>
      </c>
      <c r="C1011" s="1">
        <v>43715</v>
      </c>
      <c r="D1011">
        <v>2019</v>
      </c>
      <c r="E1011">
        <v>9</v>
      </c>
      <c r="F1011">
        <v>13.9815836</v>
      </c>
      <c r="G1011" t="s">
        <v>9</v>
      </c>
    </row>
    <row r="1012" spans="1:7" x14ac:dyDescent="0.25">
      <c r="A1012" t="s">
        <v>7</v>
      </c>
      <c r="B1012" t="s">
        <v>12</v>
      </c>
      <c r="C1012" s="1">
        <v>43716</v>
      </c>
      <c r="D1012">
        <v>2019</v>
      </c>
      <c r="E1012">
        <v>9</v>
      </c>
      <c r="F1012">
        <v>17.877613069999999</v>
      </c>
      <c r="G1012" t="s">
        <v>9</v>
      </c>
    </row>
    <row r="1013" spans="1:7" x14ac:dyDescent="0.25">
      <c r="A1013" t="s">
        <v>7</v>
      </c>
      <c r="B1013" t="s">
        <v>12</v>
      </c>
      <c r="C1013" s="1">
        <v>43721</v>
      </c>
      <c r="D1013">
        <v>2019</v>
      </c>
      <c r="E1013">
        <v>9</v>
      </c>
      <c r="F1013">
        <v>25.613695140000001</v>
      </c>
      <c r="G1013" t="s">
        <v>9</v>
      </c>
    </row>
    <row r="1014" spans="1:7" x14ac:dyDescent="0.25">
      <c r="A1014" t="s">
        <v>7</v>
      </c>
      <c r="B1014" t="s">
        <v>12</v>
      </c>
      <c r="C1014" s="1">
        <v>43722</v>
      </c>
      <c r="D1014">
        <v>2019</v>
      </c>
      <c r="E1014">
        <v>9</v>
      </c>
      <c r="F1014">
        <v>2.337379694</v>
      </c>
      <c r="G1014" t="s">
        <v>9</v>
      </c>
    </row>
    <row r="1015" spans="1:7" x14ac:dyDescent="0.25">
      <c r="A1015" t="s">
        <v>7</v>
      </c>
      <c r="B1015" t="s">
        <v>12</v>
      </c>
      <c r="C1015" s="1">
        <v>43736</v>
      </c>
      <c r="D1015">
        <v>2019</v>
      </c>
      <c r="E1015">
        <v>9</v>
      </c>
      <c r="F1015">
        <v>0</v>
      </c>
      <c r="G1015" t="s">
        <v>9</v>
      </c>
    </row>
    <row r="1016" spans="1:7" x14ac:dyDescent="0.25">
      <c r="A1016" t="s">
        <v>7</v>
      </c>
      <c r="B1016" t="s">
        <v>12</v>
      </c>
      <c r="C1016" s="1">
        <v>43742</v>
      </c>
      <c r="D1016">
        <v>2019</v>
      </c>
      <c r="E1016">
        <v>10</v>
      </c>
      <c r="F1016">
        <v>33.03607178</v>
      </c>
      <c r="G1016" t="s">
        <v>9</v>
      </c>
    </row>
    <row r="1017" spans="1:7" x14ac:dyDescent="0.25">
      <c r="A1017" t="s">
        <v>7</v>
      </c>
      <c r="B1017" t="s">
        <v>12</v>
      </c>
      <c r="C1017" s="1">
        <v>43759</v>
      </c>
      <c r="D1017">
        <v>2019</v>
      </c>
      <c r="E1017">
        <v>10</v>
      </c>
      <c r="F1017">
        <v>19.464139939999999</v>
      </c>
      <c r="G1017" t="s">
        <v>9</v>
      </c>
    </row>
    <row r="1018" spans="1:7" x14ac:dyDescent="0.25">
      <c r="A1018" t="s">
        <v>7</v>
      </c>
      <c r="B1018" t="s">
        <v>12</v>
      </c>
      <c r="C1018" s="1">
        <v>43769</v>
      </c>
      <c r="D1018">
        <v>2019</v>
      </c>
      <c r="E1018">
        <v>10</v>
      </c>
      <c r="F1018">
        <v>10.869875909999999</v>
      </c>
      <c r="G1018" t="s">
        <v>9</v>
      </c>
    </row>
    <row r="1019" spans="1:7" x14ac:dyDescent="0.25">
      <c r="A1019" t="s">
        <v>7</v>
      </c>
      <c r="B1019" t="s">
        <v>12</v>
      </c>
      <c r="C1019" s="1">
        <v>43784</v>
      </c>
      <c r="D1019">
        <v>2019</v>
      </c>
      <c r="E1019">
        <v>11</v>
      </c>
      <c r="F1019">
        <v>0</v>
      </c>
      <c r="G1019" t="s">
        <v>9</v>
      </c>
    </row>
    <row r="1020" spans="1:7" x14ac:dyDescent="0.25">
      <c r="A1020" t="s">
        <v>7</v>
      </c>
      <c r="B1020" t="s">
        <v>12</v>
      </c>
      <c r="C1020" s="1">
        <v>43785</v>
      </c>
      <c r="D1020">
        <v>2019</v>
      </c>
      <c r="E1020">
        <v>11</v>
      </c>
      <c r="F1020">
        <v>2.3430116179999998</v>
      </c>
      <c r="G1020" t="s">
        <v>9</v>
      </c>
    </row>
    <row r="1021" spans="1:7" x14ac:dyDescent="0.25">
      <c r="A1021" t="s">
        <v>7</v>
      </c>
      <c r="B1021" t="s">
        <v>12</v>
      </c>
      <c r="C1021" s="1">
        <v>43789</v>
      </c>
      <c r="D1021">
        <v>2019</v>
      </c>
      <c r="E1021">
        <v>11</v>
      </c>
      <c r="F1021">
        <v>0</v>
      </c>
      <c r="G1021" t="s">
        <v>9</v>
      </c>
    </row>
    <row r="1022" spans="1:7" x14ac:dyDescent="0.25">
      <c r="A1022" t="s">
        <v>7</v>
      </c>
      <c r="B1022" t="s">
        <v>12</v>
      </c>
      <c r="C1022" s="1">
        <v>43791</v>
      </c>
      <c r="D1022">
        <v>2019</v>
      </c>
      <c r="E1022">
        <v>11</v>
      </c>
      <c r="F1022">
        <v>7.6002788539999999</v>
      </c>
      <c r="G1022" t="s">
        <v>9</v>
      </c>
    </row>
    <row r="1023" spans="1:7" x14ac:dyDescent="0.25">
      <c r="A1023" t="s">
        <v>7</v>
      </c>
      <c r="B1023" t="s">
        <v>12</v>
      </c>
      <c r="C1023" s="1">
        <v>43792</v>
      </c>
      <c r="D1023">
        <v>2019</v>
      </c>
      <c r="E1023">
        <v>11</v>
      </c>
      <c r="F1023">
        <v>0</v>
      </c>
      <c r="G1023" t="s">
        <v>9</v>
      </c>
    </row>
    <row r="1024" spans="1:7" x14ac:dyDescent="0.25">
      <c r="A1024" t="s">
        <v>7</v>
      </c>
      <c r="B1024" t="s">
        <v>12</v>
      </c>
      <c r="C1024" s="1">
        <v>43796</v>
      </c>
      <c r="D1024">
        <v>2019</v>
      </c>
      <c r="E1024">
        <v>11</v>
      </c>
      <c r="F1024">
        <v>0</v>
      </c>
      <c r="G1024" t="s">
        <v>9</v>
      </c>
    </row>
    <row r="1025" spans="1:7" x14ac:dyDescent="0.25">
      <c r="A1025" t="s">
        <v>7</v>
      </c>
      <c r="B1025" t="s">
        <v>12</v>
      </c>
      <c r="C1025" s="1">
        <v>43810</v>
      </c>
      <c r="D1025">
        <v>2019</v>
      </c>
      <c r="E1025">
        <v>12</v>
      </c>
      <c r="F1025">
        <v>0</v>
      </c>
      <c r="G1025" t="s">
        <v>9</v>
      </c>
    </row>
    <row r="1026" spans="1:7" x14ac:dyDescent="0.25">
      <c r="A1026" t="s">
        <v>7</v>
      </c>
      <c r="B1026" t="s">
        <v>12</v>
      </c>
      <c r="C1026" s="1">
        <v>43815</v>
      </c>
      <c r="D1026">
        <v>2019</v>
      </c>
      <c r="E1026">
        <v>12</v>
      </c>
      <c r="F1026">
        <v>1.5055762530000001</v>
      </c>
      <c r="G1026" t="s">
        <v>9</v>
      </c>
    </row>
    <row r="1027" spans="1:7" x14ac:dyDescent="0.25">
      <c r="A1027" t="s">
        <v>7</v>
      </c>
      <c r="B1027" t="s">
        <v>12</v>
      </c>
      <c r="C1027" s="1">
        <v>43816</v>
      </c>
      <c r="D1027">
        <v>2019</v>
      </c>
      <c r="E1027">
        <v>12</v>
      </c>
      <c r="F1027">
        <v>0</v>
      </c>
      <c r="G1027" t="s">
        <v>9</v>
      </c>
    </row>
    <row r="1028" spans="1:7" x14ac:dyDescent="0.25">
      <c r="A1028" t="s">
        <v>7</v>
      </c>
      <c r="B1028" t="s">
        <v>12</v>
      </c>
      <c r="C1028" s="1">
        <v>43818</v>
      </c>
      <c r="D1028">
        <v>2019</v>
      </c>
      <c r="E1028">
        <v>12</v>
      </c>
      <c r="F1028">
        <v>0</v>
      </c>
      <c r="G1028" t="s">
        <v>9</v>
      </c>
    </row>
    <row r="1029" spans="1:7" x14ac:dyDescent="0.25">
      <c r="A1029" t="s">
        <v>7</v>
      </c>
      <c r="B1029" t="s">
        <v>12</v>
      </c>
      <c r="C1029" s="1">
        <v>43822</v>
      </c>
      <c r="D1029">
        <v>2019</v>
      </c>
      <c r="E1029">
        <v>12</v>
      </c>
      <c r="F1029">
        <v>0</v>
      </c>
      <c r="G1029" t="s">
        <v>9</v>
      </c>
    </row>
    <row r="1030" spans="1:7" x14ac:dyDescent="0.25">
      <c r="A1030" t="s">
        <v>7</v>
      </c>
      <c r="B1030" t="s">
        <v>12</v>
      </c>
      <c r="C1030" s="1">
        <v>43826</v>
      </c>
      <c r="D1030">
        <v>2019</v>
      </c>
      <c r="E1030">
        <v>12</v>
      </c>
      <c r="F1030">
        <v>0</v>
      </c>
      <c r="G1030" t="s">
        <v>9</v>
      </c>
    </row>
    <row r="1031" spans="1:7" x14ac:dyDescent="0.25">
      <c r="A1031" t="s">
        <v>7</v>
      </c>
      <c r="B1031" t="s">
        <v>8</v>
      </c>
      <c r="C1031" s="1">
        <v>43467</v>
      </c>
      <c r="D1031">
        <v>2019</v>
      </c>
      <c r="E1031">
        <v>1</v>
      </c>
      <c r="F1031">
        <v>0</v>
      </c>
      <c r="G1031" t="s">
        <v>9</v>
      </c>
    </row>
    <row r="1032" spans="1:7" x14ac:dyDescent="0.25">
      <c r="A1032" t="s">
        <v>7</v>
      </c>
      <c r="B1032" t="s">
        <v>8</v>
      </c>
      <c r="C1032" s="1">
        <v>43476</v>
      </c>
      <c r="D1032">
        <v>2019</v>
      </c>
      <c r="E1032">
        <v>1</v>
      </c>
      <c r="F1032">
        <v>0</v>
      </c>
      <c r="G1032" t="s">
        <v>9</v>
      </c>
    </row>
    <row r="1033" spans="1:7" x14ac:dyDescent="0.25">
      <c r="A1033" t="s">
        <v>7</v>
      </c>
      <c r="B1033" t="s">
        <v>8</v>
      </c>
      <c r="C1033" s="1">
        <v>43482</v>
      </c>
      <c r="D1033">
        <v>2019</v>
      </c>
      <c r="E1033">
        <v>1</v>
      </c>
      <c r="F1033">
        <v>0</v>
      </c>
      <c r="G1033" t="s">
        <v>9</v>
      </c>
    </row>
    <row r="1034" spans="1:7" x14ac:dyDescent="0.25">
      <c r="A1034" t="s">
        <v>7</v>
      </c>
      <c r="B1034" t="s">
        <v>8</v>
      </c>
      <c r="C1034" s="1">
        <v>43496</v>
      </c>
      <c r="D1034">
        <v>2019</v>
      </c>
      <c r="E1034">
        <v>1</v>
      </c>
      <c r="F1034">
        <v>0</v>
      </c>
      <c r="G1034" t="s">
        <v>9</v>
      </c>
    </row>
    <row r="1035" spans="1:7" x14ac:dyDescent="0.25">
      <c r="A1035" t="s">
        <v>7</v>
      </c>
      <c r="B1035" t="s">
        <v>8</v>
      </c>
      <c r="C1035" s="1">
        <v>43503</v>
      </c>
      <c r="D1035">
        <v>2019</v>
      </c>
      <c r="E1035">
        <v>2</v>
      </c>
      <c r="F1035">
        <v>0</v>
      </c>
      <c r="G1035" t="s">
        <v>9</v>
      </c>
    </row>
    <row r="1036" spans="1:7" x14ac:dyDescent="0.25">
      <c r="A1036" t="s">
        <v>7</v>
      </c>
      <c r="B1036" t="s">
        <v>8</v>
      </c>
      <c r="C1036" s="1">
        <v>43508</v>
      </c>
      <c r="D1036">
        <v>2019</v>
      </c>
      <c r="E1036">
        <v>2</v>
      </c>
      <c r="F1036">
        <v>0</v>
      </c>
      <c r="G1036" t="s">
        <v>9</v>
      </c>
    </row>
    <row r="1037" spans="1:7" x14ac:dyDescent="0.25">
      <c r="A1037" t="s">
        <v>7</v>
      </c>
      <c r="B1037" t="s">
        <v>8</v>
      </c>
      <c r="C1037" s="1">
        <v>43519</v>
      </c>
      <c r="D1037">
        <v>2019</v>
      </c>
      <c r="E1037">
        <v>2</v>
      </c>
      <c r="F1037">
        <v>0</v>
      </c>
      <c r="G1037" t="s">
        <v>9</v>
      </c>
    </row>
    <row r="1038" spans="1:7" x14ac:dyDescent="0.25">
      <c r="A1038" t="s">
        <v>7</v>
      </c>
      <c r="B1038" t="s">
        <v>8</v>
      </c>
      <c r="C1038" s="1">
        <v>43532</v>
      </c>
      <c r="D1038">
        <v>2019</v>
      </c>
      <c r="E1038">
        <v>3</v>
      </c>
      <c r="F1038">
        <v>0</v>
      </c>
      <c r="G1038" t="s">
        <v>9</v>
      </c>
    </row>
    <row r="1039" spans="1:7" x14ac:dyDescent="0.25">
      <c r="A1039" t="s">
        <v>7</v>
      </c>
      <c r="B1039" t="s">
        <v>8</v>
      </c>
      <c r="C1039" s="1">
        <v>43536</v>
      </c>
      <c r="D1039">
        <v>2019</v>
      </c>
      <c r="E1039">
        <v>3</v>
      </c>
      <c r="F1039">
        <v>0</v>
      </c>
      <c r="G1039" t="s">
        <v>9</v>
      </c>
    </row>
    <row r="1040" spans="1:7" x14ac:dyDescent="0.25">
      <c r="A1040" t="s">
        <v>7</v>
      </c>
      <c r="B1040" t="s">
        <v>8</v>
      </c>
      <c r="C1040" s="1">
        <v>43545</v>
      </c>
      <c r="D1040">
        <v>2019</v>
      </c>
      <c r="E1040">
        <v>3</v>
      </c>
      <c r="F1040">
        <v>0</v>
      </c>
      <c r="G1040" t="s">
        <v>9</v>
      </c>
    </row>
    <row r="1041" spans="1:7" x14ac:dyDescent="0.25">
      <c r="A1041" t="s">
        <v>7</v>
      </c>
      <c r="B1041" t="s">
        <v>8</v>
      </c>
      <c r="C1041" s="1">
        <v>43546</v>
      </c>
      <c r="D1041">
        <v>2019</v>
      </c>
      <c r="E1041">
        <v>3</v>
      </c>
      <c r="F1041">
        <v>0</v>
      </c>
      <c r="G1041" t="s">
        <v>9</v>
      </c>
    </row>
    <row r="1042" spans="1:7" x14ac:dyDescent="0.25">
      <c r="A1042" t="s">
        <v>7</v>
      </c>
      <c r="B1042" t="s">
        <v>8</v>
      </c>
      <c r="C1042" s="1">
        <v>43551</v>
      </c>
      <c r="D1042">
        <v>2019</v>
      </c>
      <c r="E1042">
        <v>3</v>
      </c>
      <c r="F1042">
        <v>0</v>
      </c>
      <c r="G1042" t="s">
        <v>9</v>
      </c>
    </row>
    <row r="1043" spans="1:7" x14ac:dyDescent="0.25">
      <c r="A1043" t="s">
        <v>7</v>
      </c>
      <c r="B1043" t="s">
        <v>8</v>
      </c>
      <c r="C1043" s="1">
        <v>43553</v>
      </c>
      <c r="D1043">
        <v>2019</v>
      </c>
      <c r="E1043">
        <v>3</v>
      </c>
      <c r="F1043">
        <v>0</v>
      </c>
      <c r="G1043" t="s">
        <v>9</v>
      </c>
    </row>
    <row r="1044" spans="1:7" x14ac:dyDescent="0.25">
      <c r="A1044" t="s">
        <v>7</v>
      </c>
      <c r="B1044" t="s">
        <v>8</v>
      </c>
      <c r="C1044" s="1">
        <v>43557</v>
      </c>
      <c r="D1044">
        <v>2019</v>
      </c>
      <c r="E1044">
        <v>4</v>
      </c>
      <c r="F1044">
        <v>0</v>
      </c>
      <c r="G1044" t="s">
        <v>9</v>
      </c>
    </row>
    <row r="1045" spans="1:7" x14ac:dyDescent="0.25">
      <c r="A1045" t="s">
        <v>7</v>
      </c>
      <c r="B1045" t="s">
        <v>8</v>
      </c>
      <c r="C1045" s="1">
        <v>43560</v>
      </c>
      <c r="D1045">
        <v>2019</v>
      </c>
      <c r="E1045">
        <v>4</v>
      </c>
      <c r="F1045">
        <v>0</v>
      </c>
      <c r="G1045" t="s">
        <v>9</v>
      </c>
    </row>
    <row r="1046" spans="1:7" x14ac:dyDescent="0.25">
      <c r="A1046" t="s">
        <v>7</v>
      </c>
      <c r="B1046" t="s">
        <v>8</v>
      </c>
      <c r="C1046" s="1">
        <v>43567</v>
      </c>
      <c r="D1046">
        <v>2019</v>
      </c>
      <c r="E1046">
        <v>4</v>
      </c>
      <c r="F1046">
        <v>0</v>
      </c>
      <c r="G1046" t="s">
        <v>9</v>
      </c>
    </row>
    <row r="1047" spans="1:7" x14ac:dyDescent="0.25">
      <c r="A1047" t="s">
        <v>7</v>
      </c>
      <c r="B1047" t="s">
        <v>8</v>
      </c>
      <c r="C1047" s="1">
        <v>43569</v>
      </c>
      <c r="D1047">
        <v>2019</v>
      </c>
      <c r="E1047">
        <v>4</v>
      </c>
      <c r="F1047">
        <v>0</v>
      </c>
      <c r="G1047" t="s">
        <v>9</v>
      </c>
    </row>
    <row r="1048" spans="1:7" x14ac:dyDescent="0.25">
      <c r="A1048" t="s">
        <v>7</v>
      </c>
      <c r="B1048" t="s">
        <v>8</v>
      </c>
      <c r="C1048" s="1">
        <v>43571</v>
      </c>
      <c r="D1048">
        <v>2019</v>
      </c>
      <c r="E1048">
        <v>4</v>
      </c>
      <c r="F1048">
        <v>0</v>
      </c>
      <c r="G1048" t="s">
        <v>9</v>
      </c>
    </row>
    <row r="1049" spans="1:7" x14ac:dyDescent="0.25">
      <c r="A1049" t="s">
        <v>7</v>
      </c>
      <c r="B1049" t="s">
        <v>8</v>
      </c>
      <c r="C1049" s="1">
        <v>43573</v>
      </c>
      <c r="D1049">
        <v>2019</v>
      </c>
      <c r="E1049">
        <v>4</v>
      </c>
      <c r="F1049">
        <v>0</v>
      </c>
      <c r="G1049" t="s">
        <v>9</v>
      </c>
    </row>
    <row r="1050" spans="1:7" x14ac:dyDescent="0.25">
      <c r="A1050" t="s">
        <v>7</v>
      </c>
      <c r="B1050" t="s">
        <v>8</v>
      </c>
      <c r="C1050" s="1">
        <v>43575</v>
      </c>
      <c r="D1050">
        <v>2019</v>
      </c>
      <c r="E1050">
        <v>4</v>
      </c>
      <c r="F1050">
        <v>0</v>
      </c>
      <c r="G1050" t="s">
        <v>9</v>
      </c>
    </row>
    <row r="1051" spans="1:7" x14ac:dyDescent="0.25">
      <c r="A1051" t="s">
        <v>7</v>
      </c>
      <c r="B1051" t="s">
        <v>8</v>
      </c>
      <c r="C1051" s="1">
        <v>43576</v>
      </c>
      <c r="D1051">
        <v>2019</v>
      </c>
      <c r="E1051">
        <v>4</v>
      </c>
      <c r="F1051">
        <v>0.22935670899999999</v>
      </c>
      <c r="G1051" t="s">
        <v>9</v>
      </c>
    </row>
    <row r="1052" spans="1:7" x14ac:dyDescent="0.25">
      <c r="A1052" t="s">
        <v>7</v>
      </c>
      <c r="B1052" t="s">
        <v>8</v>
      </c>
      <c r="C1052" s="1">
        <v>43580</v>
      </c>
      <c r="D1052">
        <v>2019</v>
      </c>
      <c r="E1052">
        <v>4</v>
      </c>
      <c r="F1052">
        <v>0</v>
      </c>
      <c r="G1052" t="s">
        <v>9</v>
      </c>
    </row>
    <row r="1053" spans="1:7" x14ac:dyDescent="0.25">
      <c r="A1053" t="s">
        <v>7</v>
      </c>
      <c r="B1053" t="s">
        <v>8</v>
      </c>
      <c r="C1053" s="1">
        <v>43582</v>
      </c>
      <c r="D1053">
        <v>2019</v>
      </c>
      <c r="E1053">
        <v>4</v>
      </c>
      <c r="F1053">
        <v>0</v>
      </c>
      <c r="G1053" t="s">
        <v>9</v>
      </c>
    </row>
    <row r="1054" spans="1:7" x14ac:dyDescent="0.25">
      <c r="A1054" t="s">
        <v>7</v>
      </c>
      <c r="B1054" t="s">
        <v>8</v>
      </c>
      <c r="C1054" s="1">
        <v>43585</v>
      </c>
      <c r="D1054">
        <v>2019</v>
      </c>
      <c r="E1054">
        <v>4</v>
      </c>
      <c r="F1054">
        <v>0</v>
      </c>
      <c r="G1054" t="s">
        <v>9</v>
      </c>
    </row>
    <row r="1055" spans="1:7" x14ac:dyDescent="0.25">
      <c r="A1055" t="s">
        <v>7</v>
      </c>
      <c r="B1055" t="s">
        <v>8</v>
      </c>
      <c r="C1055" s="1">
        <v>43587</v>
      </c>
      <c r="D1055">
        <v>2019</v>
      </c>
      <c r="E1055">
        <v>5</v>
      </c>
      <c r="F1055">
        <v>13.92292408</v>
      </c>
      <c r="G1055" t="s">
        <v>9</v>
      </c>
    </row>
    <row r="1056" spans="1:7" x14ac:dyDescent="0.25">
      <c r="A1056" t="s">
        <v>7</v>
      </c>
      <c r="B1056" t="s">
        <v>8</v>
      </c>
      <c r="C1056" s="1">
        <v>43591</v>
      </c>
      <c r="D1056">
        <v>2019</v>
      </c>
      <c r="E1056">
        <v>5</v>
      </c>
      <c r="F1056">
        <v>0</v>
      </c>
      <c r="G1056" t="s">
        <v>9</v>
      </c>
    </row>
    <row r="1057" spans="1:7" x14ac:dyDescent="0.25">
      <c r="A1057" t="s">
        <v>7</v>
      </c>
      <c r="B1057" t="s">
        <v>8</v>
      </c>
      <c r="C1057" s="1">
        <v>43594</v>
      </c>
      <c r="D1057">
        <v>2019</v>
      </c>
      <c r="E1057">
        <v>5</v>
      </c>
      <c r="F1057">
        <v>5.9523771000000003E-2</v>
      </c>
      <c r="G1057" t="s">
        <v>9</v>
      </c>
    </row>
    <row r="1058" spans="1:7" x14ac:dyDescent="0.25">
      <c r="A1058" t="s">
        <v>7</v>
      </c>
      <c r="B1058" t="s">
        <v>8</v>
      </c>
      <c r="C1058" s="1">
        <v>43610</v>
      </c>
      <c r="D1058">
        <v>2019</v>
      </c>
      <c r="E1058">
        <v>5</v>
      </c>
      <c r="F1058">
        <v>0</v>
      </c>
      <c r="G1058" t="s">
        <v>9</v>
      </c>
    </row>
    <row r="1059" spans="1:7" x14ac:dyDescent="0.25">
      <c r="A1059" t="s">
        <v>7</v>
      </c>
      <c r="B1059" t="s">
        <v>8</v>
      </c>
      <c r="C1059" s="1">
        <v>43615</v>
      </c>
      <c r="D1059">
        <v>2019</v>
      </c>
      <c r="E1059">
        <v>5</v>
      </c>
      <c r="F1059">
        <v>0</v>
      </c>
      <c r="G1059" t="s">
        <v>9</v>
      </c>
    </row>
    <row r="1060" spans="1:7" x14ac:dyDescent="0.25">
      <c r="A1060" t="s">
        <v>7</v>
      </c>
      <c r="B1060" t="s">
        <v>8</v>
      </c>
      <c r="C1060" s="1">
        <v>43617</v>
      </c>
      <c r="D1060">
        <v>2019</v>
      </c>
      <c r="E1060">
        <v>6</v>
      </c>
      <c r="F1060">
        <v>0</v>
      </c>
      <c r="G1060" t="s">
        <v>9</v>
      </c>
    </row>
    <row r="1061" spans="1:7" x14ac:dyDescent="0.25">
      <c r="A1061" t="s">
        <v>7</v>
      </c>
      <c r="B1061" t="s">
        <v>8</v>
      </c>
      <c r="C1061" s="1">
        <v>43635</v>
      </c>
      <c r="D1061">
        <v>2019</v>
      </c>
      <c r="E1061">
        <v>6</v>
      </c>
      <c r="F1061">
        <v>0</v>
      </c>
      <c r="G1061" t="s">
        <v>9</v>
      </c>
    </row>
    <row r="1062" spans="1:7" x14ac:dyDescent="0.25">
      <c r="A1062" t="s">
        <v>7</v>
      </c>
      <c r="B1062" t="s">
        <v>8</v>
      </c>
      <c r="C1062" s="1">
        <v>43638</v>
      </c>
      <c r="D1062">
        <v>2019</v>
      </c>
      <c r="E1062">
        <v>6</v>
      </c>
      <c r="F1062">
        <v>0</v>
      </c>
      <c r="G1062" t="s">
        <v>9</v>
      </c>
    </row>
    <row r="1063" spans="1:7" x14ac:dyDescent="0.25">
      <c r="A1063" t="s">
        <v>7</v>
      </c>
      <c r="B1063" t="s">
        <v>8</v>
      </c>
      <c r="C1063" s="1">
        <v>43642</v>
      </c>
      <c r="D1063">
        <v>2019</v>
      </c>
      <c r="E1063">
        <v>6</v>
      </c>
      <c r="F1063">
        <v>1.941025969</v>
      </c>
      <c r="G1063" t="s">
        <v>9</v>
      </c>
    </row>
    <row r="1064" spans="1:7" x14ac:dyDescent="0.25">
      <c r="A1064" t="s">
        <v>7</v>
      </c>
      <c r="B1064" t="s">
        <v>8</v>
      </c>
      <c r="C1064" s="1">
        <v>43647</v>
      </c>
      <c r="D1064">
        <v>2019</v>
      </c>
      <c r="E1064">
        <v>7</v>
      </c>
      <c r="F1064">
        <v>0</v>
      </c>
      <c r="G1064" t="s">
        <v>9</v>
      </c>
    </row>
    <row r="1065" spans="1:7" x14ac:dyDescent="0.25">
      <c r="A1065" t="s">
        <v>7</v>
      </c>
      <c r="B1065" t="s">
        <v>8</v>
      </c>
      <c r="C1065" s="1">
        <v>43654</v>
      </c>
      <c r="D1065">
        <v>2019</v>
      </c>
      <c r="E1065">
        <v>7</v>
      </c>
      <c r="F1065">
        <v>0</v>
      </c>
      <c r="G1065" t="s">
        <v>9</v>
      </c>
    </row>
    <row r="1066" spans="1:7" x14ac:dyDescent="0.25">
      <c r="A1066" t="s">
        <v>7</v>
      </c>
      <c r="B1066" t="s">
        <v>8</v>
      </c>
      <c r="C1066" s="1">
        <v>43662</v>
      </c>
      <c r="D1066">
        <v>2019</v>
      </c>
      <c r="E1066">
        <v>7</v>
      </c>
      <c r="F1066">
        <v>0</v>
      </c>
      <c r="G1066" t="s">
        <v>9</v>
      </c>
    </row>
    <row r="1067" spans="1:7" x14ac:dyDescent="0.25">
      <c r="A1067" t="s">
        <v>7</v>
      </c>
      <c r="B1067" t="s">
        <v>8</v>
      </c>
      <c r="C1067" s="1">
        <v>43663</v>
      </c>
      <c r="D1067">
        <v>2019</v>
      </c>
      <c r="E1067">
        <v>7</v>
      </c>
      <c r="F1067">
        <v>0</v>
      </c>
      <c r="G1067" t="s">
        <v>9</v>
      </c>
    </row>
    <row r="1068" spans="1:7" x14ac:dyDescent="0.25">
      <c r="A1068" t="s">
        <v>7</v>
      </c>
      <c r="B1068" t="s">
        <v>8</v>
      </c>
      <c r="C1068" s="1">
        <v>43675</v>
      </c>
      <c r="D1068">
        <v>2019</v>
      </c>
      <c r="E1068">
        <v>7</v>
      </c>
      <c r="F1068">
        <v>2.0788385229999999</v>
      </c>
      <c r="G1068" t="s">
        <v>9</v>
      </c>
    </row>
    <row r="1069" spans="1:7" x14ac:dyDescent="0.25">
      <c r="A1069" t="s">
        <v>7</v>
      </c>
      <c r="B1069" t="s">
        <v>8</v>
      </c>
      <c r="C1069" s="1">
        <v>43683</v>
      </c>
      <c r="D1069">
        <v>2019</v>
      </c>
      <c r="E1069">
        <v>8</v>
      </c>
      <c r="F1069">
        <v>3.3243750529999998</v>
      </c>
      <c r="G1069" t="s">
        <v>9</v>
      </c>
    </row>
    <row r="1070" spans="1:7" x14ac:dyDescent="0.25">
      <c r="A1070" t="s">
        <v>7</v>
      </c>
      <c r="B1070" t="s">
        <v>8</v>
      </c>
      <c r="C1070" s="1">
        <v>43684</v>
      </c>
      <c r="D1070">
        <v>2019</v>
      </c>
      <c r="E1070">
        <v>8</v>
      </c>
      <c r="F1070">
        <v>0</v>
      </c>
      <c r="G1070" t="s">
        <v>9</v>
      </c>
    </row>
    <row r="1071" spans="1:7" x14ac:dyDescent="0.25">
      <c r="A1071" t="s">
        <v>7</v>
      </c>
      <c r="B1071" t="s">
        <v>8</v>
      </c>
      <c r="C1071" s="1">
        <v>43685</v>
      </c>
      <c r="D1071">
        <v>2019</v>
      </c>
      <c r="E1071">
        <v>8</v>
      </c>
      <c r="F1071">
        <v>0.98780451599999997</v>
      </c>
      <c r="G1071" t="s">
        <v>9</v>
      </c>
    </row>
    <row r="1072" spans="1:7" x14ac:dyDescent="0.25">
      <c r="A1072" t="s">
        <v>7</v>
      </c>
      <c r="B1072" t="s">
        <v>8</v>
      </c>
      <c r="C1072" s="1">
        <v>43690</v>
      </c>
      <c r="D1072">
        <v>2019</v>
      </c>
      <c r="E1072">
        <v>8</v>
      </c>
      <c r="F1072">
        <v>0</v>
      </c>
      <c r="G1072" t="s">
        <v>9</v>
      </c>
    </row>
    <row r="1073" spans="1:7" x14ac:dyDescent="0.25">
      <c r="A1073" t="s">
        <v>7</v>
      </c>
      <c r="B1073" t="s">
        <v>8</v>
      </c>
      <c r="C1073" s="1">
        <v>43692</v>
      </c>
      <c r="D1073">
        <v>2019</v>
      </c>
      <c r="E1073">
        <v>8</v>
      </c>
      <c r="F1073">
        <v>1.387632325</v>
      </c>
      <c r="G1073" t="s">
        <v>9</v>
      </c>
    </row>
    <row r="1074" spans="1:7" x14ac:dyDescent="0.25">
      <c r="A1074" t="s">
        <v>7</v>
      </c>
      <c r="B1074" t="s">
        <v>8</v>
      </c>
      <c r="C1074" s="1">
        <v>43694</v>
      </c>
      <c r="D1074">
        <v>2019</v>
      </c>
      <c r="E1074">
        <v>8</v>
      </c>
      <c r="F1074">
        <v>47.535758430000001</v>
      </c>
      <c r="G1074" t="s">
        <v>9</v>
      </c>
    </row>
    <row r="1075" spans="1:7" x14ac:dyDescent="0.25">
      <c r="A1075" t="s">
        <v>7</v>
      </c>
      <c r="B1075" t="s">
        <v>8</v>
      </c>
      <c r="C1075" s="1">
        <v>43696</v>
      </c>
      <c r="D1075">
        <v>2019</v>
      </c>
      <c r="E1075">
        <v>8</v>
      </c>
      <c r="F1075">
        <v>12.19475192</v>
      </c>
      <c r="G1075" t="s">
        <v>9</v>
      </c>
    </row>
    <row r="1076" spans="1:7" x14ac:dyDescent="0.25">
      <c r="A1076" t="s">
        <v>7</v>
      </c>
      <c r="B1076" t="s">
        <v>8</v>
      </c>
      <c r="C1076" s="1">
        <v>43703</v>
      </c>
      <c r="D1076">
        <v>2019</v>
      </c>
      <c r="E1076">
        <v>8</v>
      </c>
      <c r="F1076">
        <v>0</v>
      </c>
      <c r="G1076" t="s">
        <v>9</v>
      </c>
    </row>
    <row r="1077" spans="1:7" x14ac:dyDescent="0.25">
      <c r="A1077" t="s">
        <v>7</v>
      </c>
      <c r="B1077" t="s">
        <v>8</v>
      </c>
      <c r="C1077" s="1">
        <v>43706</v>
      </c>
      <c r="D1077">
        <v>2019</v>
      </c>
      <c r="E1077">
        <v>8</v>
      </c>
      <c r="F1077">
        <v>0</v>
      </c>
      <c r="G1077" t="s">
        <v>9</v>
      </c>
    </row>
    <row r="1078" spans="1:7" x14ac:dyDescent="0.25">
      <c r="A1078" t="s">
        <v>7</v>
      </c>
      <c r="B1078" t="s">
        <v>8</v>
      </c>
      <c r="C1078" s="1">
        <v>43710</v>
      </c>
      <c r="D1078">
        <v>2019</v>
      </c>
      <c r="E1078">
        <v>9</v>
      </c>
      <c r="F1078">
        <v>0</v>
      </c>
      <c r="G1078" t="s">
        <v>9</v>
      </c>
    </row>
    <row r="1079" spans="1:7" x14ac:dyDescent="0.25">
      <c r="A1079" t="s">
        <v>7</v>
      </c>
      <c r="B1079" t="s">
        <v>8</v>
      </c>
      <c r="C1079" s="1">
        <v>43713</v>
      </c>
      <c r="D1079">
        <v>2019</v>
      </c>
      <c r="E1079">
        <v>9</v>
      </c>
      <c r="F1079">
        <v>10.751062810000001</v>
      </c>
      <c r="G1079" t="s">
        <v>9</v>
      </c>
    </row>
    <row r="1080" spans="1:7" x14ac:dyDescent="0.25">
      <c r="A1080" t="s">
        <v>7</v>
      </c>
      <c r="B1080" t="s">
        <v>8</v>
      </c>
      <c r="C1080" s="1">
        <v>43727</v>
      </c>
      <c r="D1080">
        <v>2019</v>
      </c>
      <c r="E1080">
        <v>9</v>
      </c>
      <c r="F1080">
        <v>0</v>
      </c>
      <c r="G1080" t="s">
        <v>9</v>
      </c>
    </row>
    <row r="1081" spans="1:7" x14ac:dyDescent="0.25">
      <c r="A1081" t="s">
        <v>7</v>
      </c>
      <c r="B1081" t="s">
        <v>8</v>
      </c>
      <c r="C1081" s="1">
        <v>43728</v>
      </c>
      <c r="D1081">
        <v>2019</v>
      </c>
      <c r="E1081">
        <v>9</v>
      </c>
      <c r="F1081">
        <v>0</v>
      </c>
      <c r="G1081" t="s">
        <v>9</v>
      </c>
    </row>
    <row r="1082" spans="1:7" x14ac:dyDescent="0.25">
      <c r="A1082" t="s">
        <v>7</v>
      </c>
      <c r="B1082" t="s">
        <v>8</v>
      </c>
      <c r="C1082" s="1">
        <v>43737</v>
      </c>
      <c r="D1082">
        <v>2019</v>
      </c>
      <c r="E1082">
        <v>9</v>
      </c>
      <c r="F1082">
        <v>1.7326804039999999</v>
      </c>
      <c r="G1082" t="s">
        <v>9</v>
      </c>
    </row>
    <row r="1083" spans="1:7" x14ac:dyDescent="0.25">
      <c r="A1083" t="s">
        <v>7</v>
      </c>
      <c r="B1083" t="s">
        <v>8</v>
      </c>
      <c r="C1083" s="1">
        <v>43741</v>
      </c>
      <c r="D1083">
        <v>2019</v>
      </c>
      <c r="E1083">
        <v>10</v>
      </c>
      <c r="F1083">
        <v>0</v>
      </c>
      <c r="G1083" t="s">
        <v>9</v>
      </c>
    </row>
    <row r="1084" spans="1:7" x14ac:dyDescent="0.25">
      <c r="A1084" t="s">
        <v>7</v>
      </c>
      <c r="B1084" t="s">
        <v>8</v>
      </c>
      <c r="C1084" s="1">
        <v>43743</v>
      </c>
      <c r="D1084">
        <v>2019</v>
      </c>
      <c r="E1084">
        <v>10</v>
      </c>
      <c r="F1084">
        <v>0</v>
      </c>
      <c r="G1084" t="s">
        <v>9</v>
      </c>
    </row>
    <row r="1085" spans="1:7" x14ac:dyDescent="0.25">
      <c r="A1085" t="s">
        <v>7</v>
      </c>
      <c r="B1085" t="s">
        <v>8</v>
      </c>
      <c r="C1085" s="1">
        <v>43746</v>
      </c>
      <c r="D1085">
        <v>2019</v>
      </c>
      <c r="E1085">
        <v>10</v>
      </c>
      <c r="F1085">
        <v>0</v>
      </c>
      <c r="G1085" t="s">
        <v>9</v>
      </c>
    </row>
    <row r="1086" spans="1:7" x14ac:dyDescent="0.25">
      <c r="A1086" t="s">
        <v>7</v>
      </c>
      <c r="B1086" t="s">
        <v>8</v>
      </c>
      <c r="C1086" s="1">
        <v>43752</v>
      </c>
      <c r="D1086">
        <v>2019</v>
      </c>
      <c r="E1086">
        <v>10</v>
      </c>
      <c r="F1086">
        <v>0</v>
      </c>
      <c r="G1086" t="s">
        <v>9</v>
      </c>
    </row>
    <row r="1087" spans="1:7" x14ac:dyDescent="0.25">
      <c r="A1087" t="s">
        <v>7</v>
      </c>
      <c r="B1087" t="s">
        <v>8</v>
      </c>
      <c r="C1087" s="1">
        <v>43760</v>
      </c>
      <c r="D1087">
        <v>2019</v>
      </c>
      <c r="E1087">
        <v>10</v>
      </c>
      <c r="F1087">
        <v>2.46588356</v>
      </c>
      <c r="G1087" t="s">
        <v>9</v>
      </c>
    </row>
    <row r="1088" spans="1:7" x14ac:dyDescent="0.25">
      <c r="A1088" t="s">
        <v>7</v>
      </c>
      <c r="B1088" t="s">
        <v>8</v>
      </c>
      <c r="C1088" s="1">
        <v>43762</v>
      </c>
      <c r="D1088">
        <v>2019</v>
      </c>
      <c r="E1088">
        <v>10</v>
      </c>
      <c r="F1088">
        <v>17.862553299999998</v>
      </c>
      <c r="G1088" t="s">
        <v>9</v>
      </c>
    </row>
    <row r="1089" spans="1:7" x14ac:dyDescent="0.25">
      <c r="A1089" t="s">
        <v>7</v>
      </c>
      <c r="B1089" t="s">
        <v>8</v>
      </c>
      <c r="C1089" s="1">
        <v>43763</v>
      </c>
      <c r="D1089">
        <v>2019</v>
      </c>
      <c r="E1089">
        <v>10</v>
      </c>
      <c r="F1089">
        <v>0</v>
      </c>
      <c r="G1089" t="s">
        <v>9</v>
      </c>
    </row>
    <row r="1090" spans="1:7" x14ac:dyDescent="0.25">
      <c r="A1090" t="s">
        <v>7</v>
      </c>
      <c r="B1090" t="s">
        <v>8</v>
      </c>
      <c r="C1090" s="1">
        <v>43766</v>
      </c>
      <c r="D1090">
        <v>2019</v>
      </c>
      <c r="E1090">
        <v>10</v>
      </c>
      <c r="F1090">
        <v>8.1344327389999993</v>
      </c>
      <c r="G1090" t="s">
        <v>9</v>
      </c>
    </row>
    <row r="1091" spans="1:7" x14ac:dyDescent="0.25">
      <c r="A1091" t="s">
        <v>7</v>
      </c>
      <c r="B1091" t="s">
        <v>8</v>
      </c>
      <c r="C1091" s="1">
        <v>43769</v>
      </c>
      <c r="D1091">
        <v>2019</v>
      </c>
      <c r="E1091">
        <v>10</v>
      </c>
      <c r="F1091">
        <v>41.826068640000003</v>
      </c>
      <c r="G1091" t="s">
        <v>9</v>
      </c>
    </row>
    <row r="1092" spans="1:7" x14ac:dyDescent="0.25">
      <c r="A1092" t="s">
        <v>7</v>
      </c>
      <c r="B1092" t="s">
        <v>8</v>
      </c>
      <c r="C1092" s="1">
        <v>43788</v>
      </c>
      <c r="D1092">
        <v>2019</v>
      </c>
      <c r="E1092">
        <v>11</v>
      </c>
      <c r="F1092">
        <v>9.885146142</v>
      </c>
      <c r="G1092" t="s">
        <v>9</v>
      </c>
    </row>
    <row r="1093" spans="1:7" x14ac:dyDescent="0.25">
      <c r="A1093" t="s">
        <v>7</v>
      </c>
      <c r="B1093" t="s">
        <v>8</v>
      </c>
      <c r="C1093" s="1">
        <v>43802</v>
      </c>
      <c r="D1093">
        <v>2019</v>
      </c>
      <c r="E1093">
        <v>12</v>
      </c>
      <c r="F1093">
        <v>15.908271239999999</v>
      </c>
      <c r="G1093" t="s">
        <v>9</v>
      </c>
    </row>
    <row r="1094" spans="1:7" x14ac:dyDescent="0.25">
      <c r="A1094" t="s">
        <v>7</v>
      </c>
      <c r="B1094" t="s">
        <v>8</v>
      </c>
      <c r="C1094" s="1">
        <v>43806</v>
      </c>
      <c r="D1094">
        <v>2019</v>
      </c>
      <c r="E1094">
        <v>12</v>
      </c>
      <c r="F1094">
        <v>0</v>
      </c>
      <c r="G1094" t="s">
        <v>9</v>
      </c>
    </row>
    <row r="1095" spans="1:7" x14ac:dyDescent="0.25">
      <c r="A1095" t="s">
        <v>7</v>
      </c>
      <c r="B1095" t="s">
        <v>8</v>
      </c>
      <c r="C1095" s="1">
        <v>43808</v>
      </c>
      <c r="D1095">
        <v>2019</v>
      </c>
      <c r="E1095">
        <v>12</v>
      </c>
      <c r="F1095">
        <v>0</v>
      </c>
      <c r="G1095" t="s">
        <v>9</v>
      </c>
    </row>
    <row r="1096" spans="1:7" x14ac:dyDescent="0.25">
      <c r="A1096" t="s">
        <v>7</v>
      </c>
      <c r="B1096" t="s">
        <v>8</v>
      </c>
      <c r="C1096" s="1">
        <v>43814</v>
      </c>
      <c r="D1096">
        <v>2019</v>
      </c>
      <c r="E1096">
        <v>12</v>
      </c>
      <c r="F1096">
        <v>6.2768600990000003</v>
      </c>
      <c r="G1096" t="s">
        <v>9</v>
      </c>
    </row>
    <row r="1097" spans="1:7" x14ac:dyDescent="0.25">
      <c r="A1097" t="s">
        <v>7</v>
      </c>
      <c r="B1097" t="s">
        <v>8</v>
      </c>
      <c r="C1097" s="1">
        <v>43825</v>
      </c>
      <c r="D1097">
        <v>2019</v>
      </c>
      <c r="E1097">
        <v>12</v>
      </c>
      <c r="F1097">
        <v>0.162071351</v>
      </c>
      <c r="G1097" t="s">
        <v>9</v>
      </c>
    </row>
    <row r="1098" spans="1:7" x14ac:dyDescent="0.25">
      <c r="A1098" t="s">
        <v>7</v>
      </c>
      <c r="B1098" t="s">
        <v>8</v>
      </c>
      <c r="C1098" s="1">
        <v>43829</v>
      </c>
      <c r="D1098">
        <v>2019</v>
      </c>
      <c r="E1098">
        <v>12</v>
      </c>
      <c r="F1098">
        <v>0</v>
      </c>
      <c r="G1098" t="s">
        <v>9</v>
      </c>
    </row>
    <row r="1099" spans="1:7" x14ac:dyDescent="0.25">
      <c r="A1099" t="s">
        <v>7</v>
      </c>
      <c r="B1099" t="s">
        <v>8</v>
      </c>
      <c r="C1099" s="1">
        <v>43609</v>
      </c>
      <c r="D1099">
        <v>2019</v>
      </c>
      <c r="E1099">
        <v>5</v>
      </c>
      <c r="F1099">
        <v>0</v>
      </c>
      <c r="G1099" t="s">
        <v>9</v>
      </c>
    </row>
    <row r="1100" spans="1:7" x14ac:dyDescent="0.25">
      <c r="A1100" t="s">
        <v>7</v>
      </c>
      <c r="B1100" t="s">
        <v>8</v>
      </c>
      <c r="C1100" s="1">
        <v>43742</v>
      </c>
      <c r="D1100">
        <v>2019</v>
      </c>
      <c r="E1100">
        <v>10</v>
      </c>
      <c r="F1100">
        <v>0</v>
      </c>
      <c r="G1100" t="s">
        <v>9</v>
      </c>
    </row>
    <row r="1101" spans="1:7" x14ac:dyDescent="0.25">
      <c r="A1101" t="s">
        <v>7</v>
      </c>
      <c r="B1101" t="s">
        <v>10</v>
      </c>
      <c r="C1101" s="1">
        <v>43469</v>
      </c>
      <c r="D1101">
        <v>2019</v>
      </c>
      <c r="E1101">
        <v>1</v>
      </c>
      <c r="F1101">
        <v>0</v>
      </c>
      <c r="G1101" t="s">
        <v>9</v>
      </c>
    </row>
    <row r="1102" spans="1:7" x14ac:dyDescent="0.25">
      <c r="A1102" t="s">
        <v>7</v>
      </c>
      <c r="B1102" t="s">
        <v>10</v>
      </c>
      <c r="C1102" s="1">
        <v>43470</v>
      </c>
      <c r="D1102">
        <v>2019</v>
      </c>
      <c r="E1102">
        <v>1</v>
      </c>
      <c r="F1102">
        <v>0</v>
      </c>
      <c r="G1102" t="s">
        <v>9</v>
      </c>
    </row>
    <row r="1103" spans="1:7" x14ac:dyDescent="0.25">
      <c r="A1103" t="s">
        <v>7</v>
      </c>
      <c r="B1103" t="s">
        <v>10</v>
      </c>
      <c r="C1103" s="1">
        <v>43471</v>
      </c>
      <c r="D1103">
        <v>2019</v>
      </c>
      <c r="E1103">
        <v>1</v>
      </c>
      <c r="F1103">
        <v>0</v>
      </c>
      <c r="G1103" t="s">
        <v>9</v>
      </c>
    </row>
    <row r="1104" spans="1:7" x14ac:dyDescent="0.25">
      <c r="A1104" t="s">
        <v>7</v>
      </c>
      <c r="B1104" t="s">
        <v>10</v>
      </c>
      <c r="C1104" s="1">
        <v>43472</v>
      </c>
      <c r="D1104">
        <v>2019</v>
      </c>
      <c r="E1104">
        <v>1</v>
      </c>
      <c r="F1104">
        <v>0</v>
      </c>
      <c r="G1104" t="s">
        <v>9</v>
      </c>
    </row>
    <row r="1105" spans="1:7" x14ac:dyDescent="0.25">
      <c r="A1105" t="s">
        <v>7</v>
      </c>
      <c r="B1105" t="s">
        <v>10</v>
      </c>
      <c r="C1105" s="1">
        <v>43478</v>
      </c>
      <c r="D1105">
        <v>2019</v>
      </c>
      <c r="E1105">
        <v>1</v>
      </c>
      <c r="F1105">
        <v>0</v>
      </c>
      <c r="G1105" t="s">
        <v>9</v>
      </c>
    </row>
    <row r="1106" spans="1:7" x14ac:dyDescent="0.25">
      <c r="A1106" t="s">
        <v>7</v>
      </c>
      <c r="B1106" t="s">
        <v>10</v>
      </c>
      <c r="C1106" s="1">
        <v>43486</v>
      </c>
      <c r="D1106">
        <v>2019</v>
      </c>
      <c r="E1106">
        <v>1</v>
      </c>
      <c r="F1106">
        <v>0</v>
      </c>
      <c r="G1106" t="s">
        <v>9</v>
      </c>
    </row>
    <row r="1107" spans="1:7" x14ac:dyDescent="0.25">
      <c r="A1107" t="s">
        <v>7</v>
      </c>
      <c r="B1107" t="s">
        <v>10</v>
      </c>
      <c r="C1107" s="1">
        <v>43488</v>
      </c>
      <c r="D1107">
        <v>2019</v>
      </c>
      <c r="E1107">
        <v>1</v>
      </c>
      <c r="F1107">
        <v>0</v>
      </c>
      <c r="G1107" t="s">
        <v>9</v>
      </c>
    </row>
    <row r="1108" spans="1:7" x14ac:dyDescent="0.25">
      <c r="A1108" t="s">
        <v>7</v>
      </c>
      <c r="B1108" t="s">
        <v>10</v>
      </c>
      <c r="C1108" s="1">
        <v>43491</v>
      </c>
      <c r="D1108">
        <v>2019</v>
      </c>
      <c r="E1108">
        <v>1</v>
      </c>
      <c r="F1108">
        <v>0</v>
      </c>
      <c r="G1108" t="s">
        <v>9</v>
      </c>
    </row>
    <row r="1109" spans="1:7" x14ac:dyDescent="0.25">
      <c r="A1109" t="s">
        <v>7</v>
      </c>
      <c r="B1109" t="s">
        <v>10</v>
      </c>
      <c r="C1109" s="1">
        <v>43498</v>
      </c>
      <c r="D1109">
        <v>2019</v>
      </c>
      <c r="E1109">
        <v>2</v>
      </c>
      <c r="F1109">
        <v>0</v>
      </c>
      <c r="G1109" t="s">
        <v>9</v>
      </c>
    </row>
    <row r="1110" spans="1:7" x14ac:dyDescent="0.25">
      <c r="A1110" t="s">
        <v>7</v>
      </c>
      <c r="B1110" t="s">
        <v>10</v>
      </c>
      <c r="C1110" s="1">
        <v>43501</v>
      </c>
      <c r="D1110">
        <v>2019</v>
      </c>
      <c r="E1110">
        <v>2</v>
      </c>
      <c r="F1110">
        <v>0</v>
      </c>
      <c r="G1110" t="s">
        <v>9</v>
      </c>
    </row>
    <row r="1111" spans="1:7" x14ac:dyDescent="0.25">
      <c r="A1111" t="s">
        <v>7</v>
      </c>
      <c r="B1111" t="s">
        <v>10</v>
      </c>
      <c r="C1111" s="1">
        <v>43502</v>
      </c>
      <c r="D1111">
        <v>2019</v>
      </c>
      <c r="E1111">
        <v>2</v>
      </c>
      <c r="F1111">
        <v>0</v>
      </c>
      <c r="G1111" t="s">
        <v>9</v>
      </c>
    </row>
    <row r="1112" spans="1:7" x14ac:dyDescent="0.25">
      <c r="A1112" t="s">
        <v>7</v>
      </c>
      <c r="B1112" t="s">
        <v>10</v>
      </c>
      <c r="C1112" s="1">
        <v>43505</v>
      </c>
      <c r="D1112">
        <v>2019</v>
      </c>
      <c r="E1112">
        <v>2</v>
      </c>
      <c r="F1112">
        <v>0</v>
      </c>
      <c r="G1112" t="s">
        <v>9</v>
      </c>
    </row>
    <row r="1113" spans="1:7" x14ac:dyDescent="0.25">
      <c r="A1113" t="s">
        <v>7</v>
      </c>
      <c r="B1113" t="s">
        <v>10</v>
      </c>
      <c r="C1113" s="1">
        <v>43506</v>
      </c>
      <c r="D1113">
        <v>2019</v>
      </c>
      <c r="E1113">
        <v>2</v>
      </c>
      <c r="F1113">
        <v>0</v>
      </c>
      <c r="G1113" t="s">
        <v>9</v>
      </c>
    </row>
    <row r="1114" spans="1:7" x14ac:dyDescent="0.25">
      <c r="A1114" t="s">
        <v>7</v>
      </c>
      <c r="B1114" t="s">
        <v>10</v>
      </c>
      <c r="C1114" s="1">
        <v>43512</v>
      </c>
      <c r="D1114">
        <v>2019</v>
      </c>
      <c r="E1114">
        <v>2</v>
      </c>
      <c r="F1114">
        <v>0</v>
      </c>
      <c r="G1114" t="s">
        <v>9</v>
      </c>
    </row>
    <row r="1115" spans="1:7" x14ac:dyDescent="0.25">
      <c r="A1115" t="s">
        <v>7</v>
      </c>
      <c r="B1115" t="s">
        <v>10</v>
      </c>
      <c r="C1115" s="1">
        <v>43521</v>
      </c>
      <c r="D1115">
        <v>2019</v>
      </c>
      <c r="E1115">
        <v>2</v>
      </c>
      <c r="F1115">
        <v>0</v>
      </c>
      <c r="G1115" t="s">
        <v>9</v>
      </c>
    </row>
    <row r="1116" spans="1:7" x14ac:dyDescent="0.25">
      <c r="A1116" t="s">
        <v>7</v>
      </c>
      <c r="B1116" t="s">
        <v>10</v>
      </c>
      <c r="C1116" s="1">
        <v>43528</v>
      </c>
      <c r="D1116">
        <v>2019</v>
      </c>
      <c r="E1116">
        <v>3</v>
      </c>
      <c r="F1116">
        <v>4.3192539219999997</v>
      </c>
      <c r="G1116" t="s">
        <v>9</v>
      </c>
    </row>
    <row r="1117" spans="1:7" x14ac:dyDescent="0.25">
      <c r="A1117" t="s">
        <v>7</v>
      </c>
      <c r="B1117" t="s">
        <v>10</v>
      </c>
      <c r="C1117" s="1">
        <v>43530</v>
      </c>
      <c r="D1117">
        <v>2019</v>
      </c>
      <c r="E1117">
        <v>3</v>
      </c>
      <c r="F1117">
        <v>0</v>
      </c>
      <c r="G1117" t="s">
        <v>9</v>
      </c>
    </row>
    <row r="1118" spans="1:7" x14ac:dyDescent="0.25">
      <c r="A1118" t="s">
        <v>7</v>
      </c>
      <c r="B1118" t="s">
        <v>10</v>
      </c>
      <c r="C1118" s="1">
        <v>43531</v>
      </c>
      <c r="D1118">
        <v>2019</v>
      </c>
      <c r="E1118">
        <v>3</v>
      </c>
      <c r="F1118">
        <v>0</v>
      </c>
      <c r="G1118" t="s">
        <v>9</v>
      </c>
    </row>
    <row r="1119" spans="1:7" x14ac:dyDescent="0.25">
      <c r="A1119" t="s">
        <v>7</v>
      </c>
      <c r="B1119" t="s">
        <v>10</v>
      </c>
      <c r="C1119" s="1">
        <v>43533</v>
      </c>
      <c r="D1119">
        <v>2019</v>
      </c>
      <c r="E1119">
        <v>3</v>
      </c>
      <c r="F1119">
        <v>0.20798027499999999</v>
      </c>
      <c r="G1119" t="s">
        <v>9</v>
      </c>
    </row>
    <row r="1120" spans="1:7" x14ac:dyDescent="0.25">
      <c r="A1120" t="s">
        <v>7</v>
      </c>
      <c r="B1120" t="s">
        <v>10</v>
      </c>
      <c r="C1120" s="1">
        <v>43551</v>
      </c>
      <c r="D1120">
        <v>2019</v>
      </c>
      <c r="E1120">
        <v>3</v>
      </c>
      <c r="F1120">
        <v>0</v>
      </c>
      <c r="G1120" t="s">
        <v>9</v>
      </c>
    </row>
    <row r="1121" spans="1:7" x14ac:dyDescent="0.25">
      <c r="A1121" t="s">
        <v>7</v>
      </c>
      <c r="B1121" t="s">
        <v>10</v>
      </c>
      <c r="C1121" s="1">
        <v>43553</v>
      </c>
      <c r="D1121">
        <v>2019</v>
      </c>
      <c r="E1121">
        <v>3</v>
      </c>
      <c r="F1121">
        <v>0</v>
      </c>
      <c r="G1121" t="s">
        <v>9</v>
      </c>
    </row>
    <row r="1122" spans="1:7" x14ac:dyDescent="0.25">
      <c r="A1122" t="s">
        <v>7</v>
      </c>
      <c r="B1122" t="s">
        <v>10</v>
      </c>
      <c r="C1122" s="1">
        <v>43554</v>
      </c>
      <c r="D1122">
        <v>2019</v>
      </c>
      <c r="E1122">
        <v>3</v>
      </c>
      <c r="F1122">
        <v>0</v>
      </c>
      <c r="G1122" t="s">
        <v>9</v>
      </c>
    </row>
    <row r="1123" spans="1:7" x14ac:dyDescent="0.25">
      <c r="A1123" t="s">
        <v>7</v>
      </c>
      <c r="B1123" t="s">
        <v>10</v>
      </c>
      <c r="C1123" s="1">
        <v>43560</v>
      </c>
      <c r="D1123">
        <v>2019</v>
      </c>
      <c r="E1123">
        <v>4</v>
      </c>
      <c r="F1123">
        <v>0</v>
      </c>
      <c r="G1123" t="s">
        <v>9</v>
      </c>
    </row>
    <row r="1124" spans="1:7" x14ac:dyDescent="0.25">
      <c r="A1124" t="s">
        <v>7</v>
      </c>
      <c r="B1124" t="s">
        <v>10</v>
      </c>
      <c r="C1124" s="1">
        <v>43564</v>
      </c>
      <c r="D1124">
        <v>2019</v>
      </c>
      <c r="E1124">
        <v>4</v>
      </c>
      <c r="F1124">
        <v>0</v>
      </c>
      <c r="G1124" t="s">
        <v>9</v>
      </c>
    </row>
    <row r="1125" spans="1:7" x14ac:dyDescent="0.25">
      <c r="A1125" t="s">
        <v>7</v>
      </c>
      <c r="B1125" t="s">
        <v>10</v>
      </c>
      <c r="C1125" s="1">
        <v>43575</v>
      </c>
      <c r="D1125">
        <v>2019</v>
      </c>
      <c r="E1125">
        <v>4</v>
      </c>
      <c r="F1125">
        <v>0</v>
      </c>
      <c r="G1125" t="s">
        <v>9</v>
      </c>
    </row>
    <row r="1126" spans="1:7" x14ac:dyDescent="0.25">
      <c r="A1126" t="s">
        <v>7</v>
      </c>
      <c r="B1126" t="s">
        <v>10</v>
      </c>
      <c r="C1126" s="1">
        <v>43582</v>
      </c>
      <c r="D1126">
        <v>2019</v>
      </c>
      <c r="E1126">
        <v>4</v>
      </c>
      <c r="F1126">
        <v>1.9845222229999999</v>
      </c>
      <c r="G1126" t="s">
        <v>9</v>
      </c>
    </row>
    <row r="1127" spans="1:7" x14ac:dyDescent="0.25">
      <c r="A1127" t="s">
        <v>7</v>
      </c>
      <c r="B1127" t="s">
        <v>10</v>
      </c>
      <c r="C1127" s="1">
        <v>43584</v>
      </c>
      <c r="D1127">
        <v>2019</v>
      </c>
      <c r="E1127">
        <v>4</v>
      </c>
      <c r="F1127">
        <v>0</v>
      </c>
      <c r="G1127" t="s">
        <v>9</v>
      </c>
    </row>
    <row r="1128" spans="1:7" x14ac:dyDescent="0.25">
      <c r="A1128" t="s">
        <v>7</v>
      </c>
      <c r="B1128" t="s">
        <v>10</v>
      </c>
      <c r="C1128" s="1">
        <v>43590</v>
      </c>
      <c r="D1128">
        <v>2019</v>
      </c>
      <c r="E1128">
        <v>5</v>
      </c>
      <c r="F1128">
        <v>0</v>
      </c>
      <c r="G1128" t="s">
        <v>9</v>
      </c>
    </row>
    <row r="1129" spans="1:7" x14ac:dyDescent="0.25">
      <c r="A1129" t="s">
        <v>7</v>
      </c>
      <c r="B1129" t="s">
        <v>10</v>
      </c>
      <c r="C1129" s="1">
        <v>43606</v>
      </c>
      <c r="D1129">
        <v>2019</v>
      </c>
      <c r="E1129">
        <v>5</v>
      </c>
      <c r="F1129">
        <v>0</v>
      </c>
      <c r="G1129" t="s">
        <v>9</v>
      </c>
    </row>
    <row r="1130" spans="1:7" x14ac:dyDescent="0.25">
      <c r="A1130" t="s">
        <v>7</v>
      </c>
      <c r="B1130" t="s">
        <v>10</v>
      </c>
      <c r="C1130" s="1">
        <v>43619</v>
      </c>
      <c r="D1130">
        <v>2019</v>
      </c>
      <c r="E1130">
        <v>6</v>
      </c>
      <c r="F1130">
        <v>0</v>
      </c>
      <c r="G1130" t="s">
        <v>9</v>
      </c>
    </row>
    <row r="1131" spans="1:7" x14ac:dyDescent="0.25">
      <c r="A1131" t="s">
        <v>7</v>
      </c>
      <c r="B1131" t="s">
        <v>10</v>
      </c>
      <c r="C1131" s="1">
        <v>43620</v>
      </c>
      <c r="D1131">
        <v>2019</v>
      </c>
      <c r="E1131">
        <v>6</v>
      </c>
      <c r="F1131">
        <v>7.7177491189999996</v>
      </c>
      <c r="G1131" t="s">
        <v>9</v>
      </c>
    </row>
    <row r="1132" spans="1:7" x14ac:dyDescent="0.25">
      <c r="A1132" t="s">
        <v>7</v>
      </c>
      <c r="B1132" t="s">
        <v>10</v>
      </c>
      <c r="C1132" s="1">
        <v>43625</v>
      </c>
      <c r="D1132">
        <v>2019</v>
      </c>
      <c r="E1132">
        <v>6</v>
      </c>
      <c r="F1132">
        <v>0</v>
      </c>
      <c r="G1132" t="s">
        <v>9</v>
      </c>
    </row>
    <row r="1133" spans="1:7" x14ac:dyDescent="0.25">
      <c r="A1133" t="s">
        <v>7</v>
      </c>
      <c r="B1133" t="s">
        <v>10</v>
      </c>
      <c r="C1133" s="1">
        <v>43628</v>
      </c>
      <c r="D1133">
        <v>2019</v>
      </c>
      <c r="E1133">
        <v>6</v>
      </c>
      <c r="F1133">
        <v>0</v>
      </c>
      <c r="G1133" t="s">
        <v>9</v>
      </c>
    </row>
    <row r="1134" spans="1:7" x14ac:dyDescent="0.25">
      <c r="A1134" t="s">
        <v>7</v>
      </c>
      <c r="B1134" t="s">
        <v>10</v>
      </c>
      <c r="C1134" s="1">
        <v>43629</v>
      </c>
      <c r="D1134">
        <v>2019</v>
      </c>
      <c r="E1134">
        <v>6</v>
      </c>
      <c r="F1134">
        <v>0</v>
      </c>
      <c r="G1134" t="s">
        <v>9</v>
      </c>
    </row>
    <row r="1135" spans="1:7" x14ac:dyDescent="0.25">
      <c r="A1135" t="s">
        <v>7</v>
      </c>
      <c r="B1135" t="s">
        <v>10</v>
      </c>
      <c r="C1135" s="1">
        <v>43633</v>
      </c>
      <c r="D1135">
        <v>2019</v>
      </c>
      <c r="E1135">
        <v>6</v>
      </c>
      <c r="F1135">
        <v>0.46694639300000002</v>
      </c>
      <c r="G1135" t="s">
        <v>9</v>
      </c>
    </row>
    <row r="1136" spans="1:7" x14ac:dyDescent="0.25">
      <c r="A1136" t="s">
        <v>7</v>
      </c>
      <c r="B1136" t="s">
        <v>10</v>
      </c>
      <c r="C1136" s="1">
        <v>43634</v>
      </c>
      <c r="D1136">
        <v>2019</v>
      </c>
      <c r="E1136">
        <v>6</v>
      </c>
      <c r="F1136">
        <v>8.8585004810000001</v>
      </c>
      <c r="G1136" t="s">
        <v>9</v>
      </c>
    </row>
    <row r="1137" spans="1:7" x14ac:dyDescent="0.25">
      <c r="A1137" t="s">
        <v>7</v>
      </c>
      <c r="B1137" t="s">
        <v>10</v>
      </c>
      <c r="C1137" s="1">
        <v>43637</v>
      </c>
      <c r="D1137">
        <v>2019</v>
      </c>
      <c r="E1137">
        <v>6</v>
      </c>
      <c r="F1137">
        <v>5.8396210670000004</v>
      </c>
      <c r="G1137" t="s">
        <v>9</v>
      </c>
    </row>
    <row r="1138" spans="1:7" x14ac:dyDescent="0.25">
      <c r="A1138" t="s">
        <v>7</v>
      </c>
      <c r="B1138" t="s">
        <v>10</v>
      </c>
      <c r="C1138" s="1">
        <v>43638</v>
      </c>
      <c r="D1138">
        <v>2019</v>
      </c>
      <c r="E1138">
        <v>6</v>
      </c>
      <c r="F1138">
        <v>6.0753636359999996</v>
      </c>
      <c r="G1138" t="s">
        <v>9</v>
      </c>
    </row>
    <row r="1139" spans="1:7" x14ac:dyDescent="0.25">
      <c r="A1139" t="s">
        <v>7</v>
      </c>
      <c r="B1139" t="s">
        <v>10</v>
      </c>
      <c r="C1139" s="1">
        <v>43643</v>
      </c>
      <c r="D1139">
        <v>2019</v>
      </c>
      <c r="E1139">
        <v>6</v>
      </c>
      <c r="F1139">
        <v>7.8213515280000001</v>
      </c>
      <c r="G1139" t="s">
        <v>9</v>
      </c>
    </row>
    <row r="1140" spans="1:7" x14ac:dyDescent="0.25">
      <c r="A1140" t="s">
        <v>7</v>
      </c>
      <c r="B1140" t="s">
        <v>10</v>
      </c>
      <c r="C1140" s="1">
        <v>43663</v>
      </c>
      <c r="D1140">
        <v>2019</v>
      </c>
      <c r="E1140">
        <v>7</v>
      </c>
      <c r="F1140">
        <v>0</v>
      </c>
      <c r="G1140" t="s">
        <v>9</v>
      </c>
    </row>
    <row r="1141" spans="1:7" x14ac:dyDescent="0.25">
      <c r="A1141" t="s">
        <v>7</v>
      </c>
      <c r="B1141" t="s">
        <v>10</v>
      </c>
      <c r="C1141" s="1">
        <v>43667</v>
      </c>
      <c r="D1141">
        <v>2019</v>
      </c>
      <c r="E1141">
        <v>7</v>
      </c>
      <c r="F1141">
        <v>1.0180606839999999</v>
      </c>
      <c r="G1141" t="s">
        <v>9</v>
      </c>
    </row>
    <row r="1142" spans="1:7" x14ac:dyDescent="0.25">
      <c r="A1142" t="s">
        <v>7</v>
      </c>
      <c r="B1142" t="s">
        <v>10</v>
      </c>
      <c r="C1142" s="1">
        <v>43675</v>
      </c>
      <c r="D1142">
        <v>2019</v>
      </c>
      <c r="E1142">
        <v>7</v>
      </c>
      <c r="F1142">
        <v>19.931537630000001</v>
      </c>
      <c r="G1142" t="s">
        <v>9</v>
      </c>
    </row>
    <row r="1143" spans="1:7" x14ac:dyDescent="0.25">
      <c r="A1143" t="s">
        <v>7</v>
      </c>
      <c r="B1143" t="s">
        <v>10</v>
      </c>
      <c r="C1143" s="1">
        <v>43678</v>
      </c>
      <c r="D1143">
        <v>2019</v>
      </c>
      <c r="E1143">
        <v>8</v>
      </c>
      <c r="F1143">
        <v>3.62544179</v>
      </c>
      <c r="G1143" t="s">
        <v>9</v>
      </c>
    </row>
    <row r="1144" spans="1:7" x14ac:dyDescent="0.25">
      <c r="A1144" t="s">
        <v>7</v>
      </c>
      <c r="B1144" t="s">
        <v>10</v>
      </c>
      <c r="C1144" s="1">
        <v>43692</v>
      </c>
      <c r="D1144">
        <v>2019</v>
      </c>
      <c r="E1144">
        <v>8</v>
      </c>
      <c r="F1144">
        <v>2.5564680100000001</v>
      </c>
      <c r="G1144" t="s">
        <v>9</v>
      </c>
    </row>
    <row r="1145" spans="1:7" x14ac:dyDescent="0.25">
      <c r="A1145" t="s">
        <v>7</v>
      </c>
      <c r="B1145" t="s">
        <v>10</v>
      </c>
      <c r="C1145" s="1">
        <v>43697</v>
      </c>
      <c r="D1145">
        <v>2019</v>
      </c>
      <c r="E1145">
        <v>8</v>
      </c>
      <c r="F1145">
        <v>5.4142313</v>
      </c>
      <c r="G1145" t="s">
        <v>9</v>
      </c>
    </row>
    <row r="1146" spans="1:7" x14ac:dyDescent="0.25">
      <c r="A1146" t="s">
        <v>7</v>
      </c>
      <c r="B1146" t="s">
        <v>10</v>
      </c>
      <c r="C1146" s="1">
        <v>43710</v>
      </c>
      <c r="D1146">
        <v>2019</v>
      </c>
      <c r="E1146">
        <v>9</v>
      </c>
      <c r="F1146">
        <v>13.592295650000001</v>
      </c>
      <c r="G1146" t="s">
        <v>9</v>
      </c>
    </row>
    <row r="1147" spans="1:7" x14ac:dyDescent="0.25">
      <c r="A1147" t="s">
        <v>7</v>
      </c>
      <c r="B1147" t="s">
        <v>10</v>
      </c>
      <c r="C1147" s="1">
        <v>43715</v>
      </c>
      <c r="D1147">
        <v>2019</v>
      </c>
      <c r="E1147">
        <v>9</v>
      </c>
      <c r="F1147">
        <v>6.6840376849999998</v>
      </c>
      <c r="G1147" t="s">
        <v>9</v>
      </c>
    </row>
    <row r="1148" spans="1:7" x14ac:dyDescent="0.25">
      <c r="A1148" t="s">
        <v>7</v>
      </c>
      <c r="B1148" t="s">
        <v>10</v>
      </c>
      <c r="C1148" s="1">
        <v>43723</v>
      </c>
      <c r="D1148">
        <v>2019</v>
      </c>
      <c r="E1148">
        <v>9</v>
      </c>
      <c r="F1148">
        <v>3.5604660510000001</v>
      </c>
      <c r="G1148" t="s">
        <v>9</v>
      </c>
    </row>
    <row r="1149" spans="1:7" x14ac:dyDescent="0.25">
      <c r="A1149" t="s">
        <v>7</v>
      </c>
      <c r="B1149" t="s">
        <v>10</v>
      </c>
      <c r="C1149" s="1">
        <v>43724</v>
      </c>
      <c r="D1149">
        <v>2019</v>
      </c>
      <c r="E1149">
        <v>9</v>
      </c>
      <c r="F1149">
        <v>0.817156196</v>
      </c>
      <c r="G1149" t="s">
        <v>9</v>
      </c>
    </row>
    <row r="1150" spans="1:7" x14ac:dyDescent="0.25">
      <c r="A1150" t="s">
        <v>7</v>
      </c>
      <c r="B1150" t="s">
        <v>10</v>
      </c>
      <c r="C1150" s="1">
        <v>43725</v>
      </c>
      <c r="D1150">
        <v>2019</v>
      </c>
      <c r="E1150">
        <v>9</v>
      </c>
      <c r="F1150">
        <v>4.696566582</v>
      </c>
      <c r="G1150" t="s">
        <v>9</v>
      </c>
    </row>
    <row r="1151" spans="1:7" x14ac:dyDescent="0.25">
      <c r="A1151" t="s">
        <v>7</v>
      </c>
      <c r="B1151" t="s">
        <v>10</v>
      </c>
      <c r="C1151" s="1">
        <v>43727</v>
      </c>
      <c r="D1151">
        <v>2019</v>
      </c>
      <c r="E1151">
        <v>9</v>
      </c>
      <c r="F1151">
        <v>7.3543138499999996</v>
      </c>
      <c r="G1151" t="s">
        <v>9</v>
      </c>
    </row>
    <row r="1152" spans="1:7" x14ac:dyDescent="0.25">
      <c r="A1152" t="s">
        <v>7</v>
      </c>
      <c r="B1152" t="s">
        <v>10</v>
      </c>
      <c r="C1152" s="1">
        <v>43729</v>
      </c>
      <c r="D1152">
        <v>2019</v>
      </c>
      <c r="E1152">
        <v>9</v>
      </c>
      <c r="F1152">
        <v>1.9072203640000001</v>
      </c>
      <c r="G1152" t="s">
        <v>9</v>
      </c>
    </row>
    <row r="1153" spans="1:7" x14ac:dyDescent="0.25">
      <c r="A1153" t="s">
        <v>7</v>
      </c>
      <c r="B1153" t="s">
        <v>10</v>
      </c>
      <c r="C1153" s="1">
        <v>43731</v>
      </c>
      <c r="D1153">
        <v>2019</v>
      </c>
      <c r="E1153">
        <v>9</v>
      </c>
      <c r="F1153">
        <v>2.635630608</v>
      </c>
      <c r="G1153" t="s">
        <v>9</v>
      </c>
    </row>
    <row r="1154" spans="1:7" x14ac:dyDescent="0.25">
      <c r="A1154" t="s">
        <v>7</v>
      </c>
      <c r="B1154" t="s">
        <v>10</v>
      </c>
      <c r="C1154" s="1">
        <v>43732</v>
      </c>
      <c r="D1154">
        <v>2019</v>
      </c>
      <c r="E1154">
        <v>9</v>
      </c>
      <c r="F1154">
        <v>15.477856640000001</v>
      </c>
      <c r="G1154" t="s">
        <v>9</v>
      </c>
    </row>
    <row r="1155" spans="1:7" x14ac:dyDescent="0.25">
      <c r="A1155" t="s">
        <v>7</v>
      </c>
      <c r="B1155" t="s">
        <v>10</v>
      </c>
      <c r="C1155" s="1">
        <v>43738</v>
      </c>
      <c r="D1155">
        <v>2019</v>
      </c>
      <c r="E1155">
        <v>9</v>
      </c>
      <c r="F1155">
        <v>3.989091873</v>
      </c>
      <c r="G1155" t="s">
        <v>9</v>
      </c>
    </row>
    <row r="1156" spans="1:7" x14ac:dyDescent="0.25">
      <c r="A1156" t="s">
        <v>7</v>
      </c>
      <c r="B1156" t="s">
        <v>10</v>
      </c>
      <c r="C1156" s="1">
        <v>43742</v>
      </c>
      <c r="D1156">
        <v>2019</v>
      </c>
      <c r="E1156">
        <v>10</v>
      </c>
      <c r="F1156">
        <v>0</v>
      </c>
      <c r="G1156" t="s">
        <v>9</v>
      </c>
    </row>
    <row r="1157" spans="1:7" x14ac:dyDescent="0.25">
      <c r="A1157" t="s">
        <v>7</v>
      </c>
      <c r="B1157" t="s">
        <v>10</v>
      </c>
      <c r="C1157" s="1">
        <v>43752</v>
      </c>
      <c r="D1157">
        <v>2019</v>
      </c>
      <c r="E1157">
        <v>10</v>
      </c>
      <c r="F1157">
        <v>13.32098103</v>
      </c>
      <c r="G1157" t="s">
        <v>9</v>
      </c>
    </row>
    <row r="1158" spans="1:7" x14ac:dyDescent="0.25">
      <c r="A1158" t="s">
        <v>7</v>
      </c>
      <c r="B1158" t="s">
        <v>10</v>
      </c>
      <c r="C1158" s="1">
        <v>43753</v>
      </c>
      <c r="D1158">
        <v>2019</v>
      </c>
      <c r="E1158">
        <v>10</v>
      </c>
      <c r="F1158">
        <v>0</v>
      </c>
      <c r="G1158" t="s">
        <v>9</v>
      </c>
    </row>
    <row r="1159" spans="1:7" x14ac:dyDescent="0.25">
      <c r="A1159" t="s">
        <v>7</v>
      </c>
      <c r="B1159" t="s">
        <v>10</v>
      </c>
      <c r="C1159" s="1">
        <v>43757</v>
      </c>
      <c r="D1159">
        <v>2019</v>
      </c>
      <c r="E1159">
        <v>10</v>
      </c>
      <c r="F1159">
        <v>3.2683007719999999</v>
      </c>
      <c r="G1159" t="s">
        <v>9</v>
      </c>
    </row>
    <row r="1160" spans="1:7" x14ac:dyDescent="0.25">
      <c r="A1160" t="s">
        <v>7</v>
      </c>
      <c r="B1160" t="s">
        <v>10</v>
      </c>
      <c r="C1160" s="1">
        <v>43758</v>
      </c>
      <c r="D1160">
        <v>2019</v>
      </c>
      <c r="E1160">
        <v>10</v>
      </c>
      <c r="F1160">
        <v>5.1393666270000002</v>
      </c>
      <c r="G1160" t="s">
        <v>9</v>
      </c>
    </row>
    <row r="1161" spans="1:7" x14ac:dyDescent="0.25">
      <c r="A1161" t="s">
        <v>7</v>
      </c>
      <c r="B1161" t="s">
        <v>10</v>
      </c>
      <c r="C1161" s="1">
        <v>43763</v>
      </c>
      <c r="D1161">
        <v>2019</v>
      </c>
      <c r="E1161">
        <v>10</v>
      </c>
      <c r="F1161">
        <v>1.488762379</v>
      </c>
      <c r="G1161" t="s">
        <v>9</v>
      </c>
    </row>
    <row r="1162" spans="1:7" x14ac:dyDescent="0.25">
      <c r="A1162" t="s">
        <v>7</v>
      </c>
      <c r="B1162" t="s">
        <v>12</v>
      </c>
      <c r="C1162" s="1">
        <v>43699</v>
      </c>
      <c r="D1162">
        <v>2019</v>
      </c>
      <c r="E1162">
        <v>8</v>
      </c>
      <c r="F1162">
        <v>11.208382609999999</v>
      </c>
      <c r="G1162" t="s">
        <v>9</v>
      </c>
    </row>
    <row r="1163" spans="1:7" x14ac:dyDescent="0.25">
      <c r="A1163" t="s">
        <v>7</v>
      </c>
      <c r="B1163" t="s">
        <v>12</v>
      </c>
      <c r="C1163" s="1">
        <v>43709</v>
      </c>
      <c r="D1163">
        <v>2019</v>
      </c>
      <c r="E1163">
        <v>9</v>
      </c>
      <c r="F1163">
        <v>17.433473589999998</v>
      </c>
      <c r="G1163" t="s">
        <v>9</v>
      </c>
    </row>
    <row r="1164" spans="1:7" x14ac:dyDescent="0.25">
      <c r="A1164" t="s">
        <v>7</v>
      </c>
      <c r="B1164" t="s">
        <v>12</v>
      </c>
      <c r="C1164" s="1">
        <v>43713</v>
      </c>
      <c r="D1164">
        <v>2019</v>
      </c>
      <c r="E1164">
        <v>9</v>
      </c>
      <c r="F1164">
        <v>56.357639310000003</v>
      </c>
      <c r="G1164" t="s">
        <v>9</v>
      </c>
    </row>
    <row r="1165" spans="1:7" x14ac:dyDescent="0.25">
      <c r="A1165" t="s">
        <v>7</v>
      </c>
      <c r="B1165" t="s">
        <v>12</v>
      </c>
      <c r="C1165" s="1">
        <v>43717</v>
      </c>
      <c r="D1165">
        <v>2019</v>
      </c>
      <c r="E1165">
        <v>9</v>
      </c>
      <c r="F1165">
        <v>16.93312263</v>
      </c>
      <c r="G1165" t="s">
        <v>9</v>
      </c>
    </row>
    <row r="1166" spans="1:7" x14ac:dyDescent="0.25">
      <c r="A1166" t="s">
        <v>7</v>
      </c>
      <c r="B1166" t="s">
        <v>12</v>
      </c>
      <c r="C1166" s="1">
        <v>43718</v>
      </c>
      <c r="D1166">
        <v>2019</v>
      </c>
      <c r="E1166">
        <v>9</v>
      </c>
      <c r="F1166">
        <v>29.56936455</v>
      </c>
      <c r="G1166" t="s">
        <v>9</v>
      </c>
    </row>
    <row r="1167" spans="1:7" x14ac:dyDescent="0.25">
      <c r="A1167" t="s">
        <v>7</v>
      </c>
      <c r="B1167" t="s">
        <v>12</v>
      </c>
      <c r="C1167" s="1">
        <v>43723</v>
      </c>
      <c r="D1167">
        <v>2019</v>
      </c>
      <c r="E1167">
        <v>9</v>
      </c>
      <c r="F1167">
        <v>4.7095308300000003</v>
      </c>
      <c r="G1167" t="s">
        <v>9</v>
      </c>
    </row>
    <row r="1168" spans="1:7" x14ac:dyDescent="0.25">
      <c r="A1168" t="s">
        <v>7</v>
      </c>
      <c r="B1168" t="s">
        <v>12</v>
      </c>
      <c r="C1168" s="1">
        <v>43725</v>
      </c>
      <c r="D1168">
        <v>2019</v>
      </c>
      <c r="E1168">
        <v>9</v>
      </c>
      <c r="F1168">
        <v>2.953982592</v>
      </c>
      <c r="G1168" t="s">
        <v>9</v>
      </c>
    </row>
    <row r="1169" spans="1:7" x14ac:dyDescent="0.25">
      <c r="A1169" t="s">
        <v>7</v>
      </c>
      <c r="B1169" t="s">
        <v>12</v>
      </c>
      <c r="C1169" s="1">
        <v>43730</v>
      </c>
      <c r="D1169">
        <v>2019</v>
      </c>
      <c r="E1169">
        <v>9</v>
      </c>
      <c r="F1169">
        <v>1.3501802679999999</v>
      </c>
      <c r="G1169" t="s">
        <v>9</v>
      </c>
    </row>
    <row r="1170" spans="1:7" x14ac:dyDescent="0.25">
      <c r="A1170" t="s">
        <v>7</v>
      </c>
      <c r="B1170" t="s">
        <v>12</v>
      </c>
      <c r="C1170" s="1">
        <v>43734</v>
      </c>
      <c r="D1170">
        <v>2019</v>
      </c>
      <c r="E1170">
        <v>9</v>
      </c>
      <c r="F1170">
        <v>11.12172413</v>
      </c>
      <c r="G1170" t="s">
        <v>9</v>
      </c>
    </row>
    <row r="1171" spans="1:7" x14ac:dyDescent="0.25">
      <c r="A1171" t="s">
        <v>7</v>
      </c>
      <c r="B1171" t="s">
        <v>12</v>
      </c>
      <c r="C1171" s="1">
        <v>43741</v>
      </c>
      <c r="D1171">
        <v>2019</v>
      </c>
      <c r="E1171">
        <v>10</v>
      </c>
      <c r="F1171">
        <v>0</v>
      </c>
      <c r="G1171" t="s">
        <v>9</v>
      </c>
    </row>
    <row r="1172" spans="1:7" x14ac:dyDescent="0.25">
      <c r="A1172" t="s">
        <v>7</v>
      </c>
      <c r="B1172" t="s">
        <v>12</v>
      </c>
      <c r="C1172" s="1">
        <v>43749</v>
      </c>
      <c r="D1172">
        <v>2019</v>
      </c>
      <c r="E1172">
        <v>10</v>
      </c>
      <c r="F1172">
        <v>0</v>
      </c>
      <c r="G1172" t="s">
        <v>9</v>
      </c>
    </row>
    <row r="1173" spans="1:7" x14ac:dyDescent="0.25">
      <c r="A1173" t="s">
        <v>7</v>
      </c>
      <c r="B1173" t="s">
        <v>12</v>
      </c>
      <c r="C1173" s="1">
        <v>43751</v>
      </c>
      <c r="D1173">
        <v>2019</v>
      </c>
      <c r="E1173">
        <v>10</v>
      </c>
      <c r="F1173">
        <v>2.675421</v>
      </c>
      <c r="G1173" t="s">
        <v>9</v>
      </c>
    </row>
    <row r="1174" spans="1:7" x14ac:dyDescent="0.25">
      <c r="A1174" t="s">
        <v>7</v>
      </c>
      <c r="B1174" t="s">
        <v>12</v>
      </c>
      <c r="C1174" s="1">
        <v>43752</v>
      </c>
      <c r="D1174">
        <v>2019</v>
      </c>
      <c r="E1174">
        <v>10</v>
      </c>
      <c r="F1174">
        <v>4.4304180149999999</v>
      </c>
      <c r="G1174" t="s">
        <v>9</v>
      </c>
    </row>
    <row r="1175" spans="1:7" x14ac:dyDescent="0.25">
      <c r="A1175" t="s">
        <v>7</v>
      </c>
      <c r="B1175" t="s">
        <v>12</v>
      </c>
      <c r="C1175" s="1">
        <v>43754</v>
      </c>
      <c r="D1175">
        <v>2019</v>
      </c>
      <c r="E1175">
        <v>10</v>
      </c>
      <c r="F1175">
        <v>27.016172409999999</v>
      </c>
      <c r="G1175" t="s">
        <v>9</v>
      </c>
    </row>
    <row r="1176" spans="1:7" x14ac:dyDescent="0.25">
      <c r="A1176" t="s">
        <v>7</v>
      </c>
      <c r="B1176" t="s">
        <v>12</v>
      </c>
      <c r="C1176" s="1">
        <v>43755</v>
      </c>
      <c r="D1176">
        <v>2019</v>
      </c>
      <c r="E1176">
        <v>10</v>
      </c>
      <c r="F1176">
        <v>29.65023613</v>
      </c>
      <c r="G1176" t="s">
        <v>9</v>
      </c>
    </row>
    <row r="1177" spans="1:7" x14ac:dyDescent="0.25">
      <c r="A1177" t="s">
        <v>7</v>
      </c>
      <c r="B1177" t="s">
        <v>12</v>
      </c>
      <c r="C1177" s="1">
        <v>43756</v>
      </c>
      <c r="D1177">
        <v>2019</v>
      </c>
      <c r="E1177">
        <v>10</v>
      </c>
      <c r="F1177">
        <v>33.523738860000002</v>
      </c>
      <c r="G1177" t="s">
        <v>9</v>
      </c>
    </row>
    <row r="1178" spans="1:7" x14ac:dyDescent="0.25">
      <c r="A1178" t="s">
        <v>7</v>
      </c>
      <c r="B1178" t="s">
        <v>12</v>
      </c>
      <c r="C1178" s="1">
        <v>43757</v>
      </c>
      <c r="D1178">
        <v>2019</v>
      </c>
      <c r="E1178">
        <v>10</v>
      </c>
      <c r="F1178">
        <v>25.618906020000001</v>
      </c>
      <c r="G1178" t="s">
        <v>9</v>
      </c>
    </row>
    <row r="1179" spans="1:7" x14ac:dyDescent="0.25">
      <c r="A1179" t="s">
        <v>7</v>
      </c>
      <c r="B1179" t="s">
        <v>12</v>
      </c>
      <c r="C1179" s="1">
        <v>43760</v>
      </c>
      <c r="D1179">
        <v>2019</v>
      </c>
      <c r="E1179">
        <v>10</v>
      </c>
      <c r="F1179">
        <v>50.523578639999997</v>
      </c>
      <c r="G1179" t="s">
        <v>9</v>
      </c>
    </row>
    <row r="1180" spans="1:7" x14ac:dyDescent="0.25">
      <c r="A1180" t="s">
        <v>7</v>
      </c>
      <c r="B1180" t="s">
        <v>12</v>
      </c>
      <c r="C1180" s="1">
        <v>43764</v>
      </c>
      <c r="D1180">
        <v>2019</v>
      </c>
      <c r="E1180">
        <v>10</v>
      </c>
      <c r="F1180">
        <v>78.629158020000006</v>
      </c>
      <c r="G1180" t="s">
        <v>9</v>
      </c>
    </row>
    <row r="1181" spans="1:7" x14ac:dyDescent="0.25">
      <c r="A1181" t="s">
        <v>7</v>
      </c>
      <c r="B1181" t="s">
        <v>12</v>
      </c>
      <c r="C1181" s="1">
        <v>43765</v>
      </c>
      <c r="D1181">
        <v>2019</v>
      </c>
      <c r="E1181">
        <v>10</v>
      </c>
      <c r="F1181">
        <v>28.191375730000001</v>
      </c>
      <c r="G1181" t="s">
        <v>9</v>
      </c>
    </row>
    <row r="1182" spans="1:7" x14ac:dyDescent="0.25">
      <c r="A1182" t="s">
        <v>7</v>
      </c>
      <c r="B1182" t="s">
        <v>12</v>
      </c>
      <c r="C1182" s="1">
        <v>43766</v>
      </c>
      <c r="D1182">
        <v>2019</v>
      </c>
      <c r="E1182">
        <v>10</v>
      </c>
      <c r="F1182">
        <v>0</v>
      </c>
      <c r="G1182" t="s">
        <v>9</v>
      </c>
    </row>
    <row r="1183" spans="1:7" x14ac:dyDescent="0.25">
      <c r="A1183" t="s">
        <v>7</v>
      </c>
      <c r="B1183" t="s">
        <v>12</v>
      </c>
      <c r="C1183" s="1">
        <v>43767</v>
      </c>
      <c r="D1183">
        <v>2019</v>
      </c>
      <c r="E1183">
        <v>10</v>
      </c>
      <c r="F1183">
        <v>3.1696343420000002</v>
      </c>
      <c r="G1183" t="s">
        <v>9</v>
      </c>
    </row>
    <row r="1184" spans="1:7" x14ac:dyDescent="0.25">
      <c r="A1184" t="s">
        <v>7</v>
      </c>
      <c r="B1184" t="s">
        <v>12</v>
      </c>
      <c r="C1184" s="1">
        <v>43772</v>
      </c>
      <c r="D1184">
        <v>2019</v>
      </c>
      <c r="E1184">
        <v>11</v>
      </c>
      <c r="F1184">
        <v>0</v>
      </c>
      <c r="G1184" t="s">
        <v>9</v>
      </c>
    </row>
    <row r="1185" spans="1:7" x14ac:dyDescent="0.25">
      <c r="A1185" t="s">
        <v>7</v>
      </c>
      <c r="B1185" t="s">
        <v>12</v>
      </c>
      <c r="C1185" s="1">
        <v>43776</v>
      </c>
      <c r="D1185">
        <v>2019</v>
      </c>
      <c r="E1185">
        <v>11</v>
      </c>
      <c r="F1185">
        <v>0</v>
      </c>
      <c r="G1185" t="s">
        <v>9</v>
      </c>
    </row>
    <row r="1186" spans="1:7" x14ac:dyDescent="0.25">
      <c r="A1186" t="s">
        <v>7</v>
      </c>
      <c r="B1186" t="s">
        <v>12</v>
      </c>
      <c r="C1186" s="1">
        <v>43779</v>
      </c>
      <c r="D1186">
        <v>2019</v>
      </c>
      <c r="E1186">
        <v>11</v>
      </c>
      <c r="F1186">
        <v>0</v>
      </c>
      <c r="G1186" t="s">
        <v>9</v>
      </c>
    </row>
    <row r="1187" spans="1:7" x14ac:dyDescent="0.25">
      <c r="A1187" t="s">
        <v>7</v>
      </c>
      <c r="B1187" t="s">
        <v>12</v>
      </c>
      <c r="C1187" s="1">
        <v>43781</v>
      </c>
      <c r="D1187">
        <v>2019</v>
      </c>
      <c r="E1187">
        <v>11</v>
      </c>
      <c r="F1187">
        <v>14.76097298</v>
      </c>
      <c r="G1187" t="s">
        <v>9</v>
      </c>
    </row>
    <row r="1188" spans="1:7" x14ac:dyDescent="0.25">
      <c r="A1188" t="s">
        <v>7</v>
      </c>
      <c r="B1188" t="s">
        <v>12</v>
      </c>
      <c r="C1188" s="1">
        <v>43790</v>
      </c>
      <c r="D1188">
        <v>2019</v>
      </c>
      <c r="E1188">
        <v>11</v>
      </c>
      <c r="F1188">
        <v>12.422202110000001</v>
      </c>
      <c r="G1188" t="s">
        <v>9</v>
      </c>
    </row>
    <row r="1189" spans="1:7" x14ac:dyDescent="0.25">
      <c r="A1189" t="s">
        <v>7</v>
      </c>
      <c r="B1189" t="s">
        <v>12</v>
      </c>
      <c r="C1189" s="1">
        <v>43794</v>
      </c>
      <c r="D1189">
        <v>2019</v>
      </c>
      <c r="E1189">
        <v>11</v>
      </c>
      <c r="F1189">
        <v>0</v>
      </c>
      <c r="G1189" t="s">
        <v>9</v>
      </c>
    </row>
    <row r="1190" spans="1:7" x14ac:dyDescent="0.25">
      <c r="A1190" t="s">
        <v>7</v>
      </c>
      <c r="B1190" t="s">
        <v>12</v>
      </c>
      <c r="C1190" s="1">
        <v>43795</v>
      </c>
      <c r="D1190">
        <v>2019</v>
      </c>
      <c r="E1190">
        <v>11</v>
      </c>
      <c r="F1190">
        <v>0</v>
      </c>
      <c r="G1190" t="s">
        <v>9</v>
      </c>
    </row>
    <row r="1191" spans="1:7" x14ac:dyDescent="0.25">
      <c r="A1191" t="s">
        <v>7</v>
      </c>
      <c r="B1191" t="s">
        <v>12</v>
      </c>
      <c r="C1191" s="1">
        <v>43797</v>
      </c>
      <c r="D1191">
        <v>2019</v>
      </c>
      <c r="E1191">
        <v>11</v>
      </c>
      <c r="F1191">
        <v>0</v>
      </c>
      <c r="G1191" t="s">
        <v>9</v>
      </c>
    </row>
    <row r="1192" spans="1:7" x14ac:dyDescent="0.25">
      <c r="A1192" t="s">
        <v>7</v>
      </c>
      <c r="B1192" t="s">
        <v>12</v>
      </c>
      <c r="C1192" s="1">
        <v>43804</v>
      </c>
      <c r="D1192">
        <v>2019</v>
      </c>
      <c r="E1192">
        <v>12</v>
      </c>
      <c r="F1192">
        <v>0</v>
      </c>
      <c r="G1192" t="s">
        <v>9</v>
      </c>
    </row>
    <row r="1193" spans="1:7" x14ac:dyDescent="0.25">
      <c r="A1193" t="s">
        <v>7</v>
      </c>
      <c r="B1193" t="s">
        <v>12</v>
      </c>
      <c r="C1193" s="1">
        <v>43809</v>
      </c>
      <c r="D1193">
        <v>2019</v>
      </c>
      <c r="E1193">
        <v>12</v>
      </c>
      <c r="F1193">
        <v>0</v>
      </c>
      <c r="G1193" t="s">
        <v>9</v>
      </c>
    </row>
    <row r="1194" spans="1:7" x14ac:dyDescent="0.25">
      <c r="A1194" t="s">
        <v>7</v>
      </c>
      <c r="B1194" t="s">
        <v>12</v>
      </c>
      <c r="C1194" s="1">
        <v>43813</v>
      </c>
      <c r="D1194">
        <v>2019</v>
      </c>
      <c r="E1194">
        <v>12</v>
      </c>
      <c r="F1194">
        <v>0</v>
      </c>
      <c r="G1194" t="s">
        <v>9</v>
      </c>
    </row>
    <row r="1195" spans="1:7" x14ac:dyDescent="0.25">
      <c r="A1195" t="s">
        <v>7</v>
      </c>
      <c r="B1195" t="s">
        <v>12</v>
      </c>
      <c r="C1195" s="1">
        <v>43820</v>
      </c>
      <c r="D1195">
        <v>2019</v>
      </c>
      <c r="E1195">
        <v>12</v>
      </c>
      <c r="F1195">
        <v>0</v>
      </c>
      <c r="G1195" t="s">
        <v>9</v>
      </c>
    </row>
    <row r="1196" spans="1:7" x14ac:dyDescent="0.25">
      <c r="A1196" t="s">
        <v>7</v>
      </c>
      <c r="B1196" t="s">
        <v>12</v>
      </c>
      <c r="C1196" s="1">
        <v>43823</v>
      </c>
      <c r="D1196">
        <v>2019</v>
      </c>
      <c r="E1196">
        <v>12</v>
      </c>
      <c r="F1196">
        <v>0</v>
      </c>
      <c r="G1196" t="s">
        <v>9</v>
      </c>
    </row>
    <row r="1197" spans="1:7" x14ac:dyDescent="0.25">
      <c r="A1197" t="s">
        <v>7</v>
      </c>
      <c r="B1197" t="s">
        <v>12</v>
      </c>
      <c r="C1197" s="1">
        <v>43829</v>
      </c>
      <c r="D1197">
        <v>2019</v>
      </c>
      <c r="E1197">
        <v>12</v>
      </c>
      <c r="F1197">
        <v>0</v>
      </c>
      <c r="G1197" t="s">
        <v>9</v>
      </c>
    </row>
    <row r="1198" spans="1:7" x14ac:dyDescent="0.25">
      <c r="A1198" t="s">
        <v>7</v>
      </c>
      <c r="B1198" t="s">
        <v>8</v>
      </c>
      <c r="C1198" s="1">
        <v>43473</v>
      </c>
      <c r="D1198">
        <v>2019</v>
      </c>
      <c r="E1198">
        <v>1</v>
      </c>
      <c r="F1198">
        <v>0</v>
      </c>
      <c r="G1198" t="s">
        <v>9</v>
      </c>
    </row>
    <row r="1199" spans="1:7" x14ac:dyDescent="0.25">
      <c r="A1199" t="s">
        <v>7</v>
      </c>
      <c r="B1199" t="s">
        <v>8</v>
      </c>
      <c r="C1199" s="1">
        <v>43483</v>
      </c>
      <c r="D1199">
        <v>2019</v>
      </c>
      <c r="E1199">
        <v>1</v>
      </c>
      <c r="F1199">
        <v>0</v>
      </c>
      <c r="G1199" t="s">
        <v>9</v>
      </c>
    </row>
    <row r="1200" spans="1:7" x14ac:dyDescent="0.25">
      <c r="A1200" t="s">
        <v>7</v>
      </c>
      <c r="B1200" t="s">
        <v>8</v>
      </c>
      <c r="C1200" s="1">
        <v>43484</v>
      </c>
      <c r="D1200">
        <v>2019</v>
      </c>
      <c r="E1200">
        <v>1</v>
      </c>
      <c r="F1200">
        <v>0</v>
      </c>
      <c r="G1200" t="s">
        <v>9</v>
      </c>
    </row>
    <row r="1201" spans="1:7" x14ac:dyDescent="0.25">
      <c r="A1201" t="s">
        <v>7</v>
      </c>
      <c r="B1201" t="s">
        <v>8</v>
      </c>
      <c r="C1201" s="1">
        <v>43486</v>
      </c>
      <c r="D1201">
        <v>2019</v>
      </c>
      <c r="E1201">
        <v>1</v>
      </c>
      <c r="F1201">
        <v>0</v>
      </c>
      <c r="G1201" t="s">
        <v>9</v>
      </c>
    </row>
    <row r="1202" spans="1:7" x14ac:dyDescent="0.25">
      <c r="A1202" t="s">
        <v>7</v>
      </c>
      <c r="B1202" t="s">
        <v>8</v>
      </c>
      <c r="C1202" s="1">
        <v>43487</v>
      </c>
      <c r="D1202">
        <v>2019</v>
      </c>
      <c r="E1202">
        <v>1</v>
      </c>
      <c r="F1202">
        <v>0</v>
      </c>
      <c r="G1202" t="s">
        <v>9</v>
      </c>
    </row>
    <row r="1203" spans="1:7" x14ac:dyDescent="0.25">
      <c r="A1203" t="s">
        <v>7</v>
      </c>
      <c r="B1203" t="s">
        <v>8</v>
      </c>
      <c r="C1203" s="1">
        <v>43493</v>
      </c>
      <c r="D1203">
        <v>2019</v>
      </c>
      <c r="E1203">
        <v>1</v>
      </c>
      <c r="F1203">
        <v>0</v>
      </c>
      <c r="G1203" t="s">
        <v>9</v>
      </c>
    </row>
    <row r="1204" spans="1:7" x14ac:dyDescent="0.25">
      <c r="A1204" t="s">
        <v>7</v>
      </c>
      <c r="B1204" t="s">
        <v>8</v>
      </c>
      <c r="C1204" s="1">
        <v>43504</v>
      </c>
      <c r="D1204">
        <v>2019</v>
      </c>
      <c r="E1204">
        <v>2</v>
      </c>
      <c r="F1204">
        <v>0</v>
      </c>
      <c r="G1204" t="s">
        <v>9</v>
      </c>
    </row>
    <row r="1205" spans="1:7" x14ac:dyDescent="0.25">
      <c r="A1205" t="s">
        <v>7</v>
      </c>
      <c r="B1205" t="s">
        <v>8</v>
      </c>
      <c r="C1205" s="1">
        <v>43507</v>
      </c>
      <c r="D1205">
        <v>2019</v>
      </c>
      <c r="E1205">
        <v>2</v>
      </c>
      <c r="F1205">
        <v>0</v>
      </c>
      <c r="G1205" t="s">
        <v>9</v>
      </c>
    </row>
    <row r="1206" spans="1:7" x14ac:dyDescent="0.25">
      <c r="A1206" t="s">
        <v>7</v>
      </c>
      <c r="B1206" t="s">
        <v>8</v>
      </c>
      <c r="C1206" s="1">
        <v>43509</v>
      </c>
      <c r="D1206">
        <v>2019</v>
      </c>
      <c r="E1206">
        <v>2</v>
      </c>
      <c r="F1206">
        <v>0</v>
      </c>
      <c r="G1206" t="s">
        <v>9</v>
      </c>
    </row>
    <row r="1207" spans="1:7" x14ac:dyDescent="0.25">
      <c r="A1207" t="s">
        <v>7</v>
      </c>
      <c r="B1207" t="s">
        <v>8</v>
      </c>
      <c r="C1207" s="1">
        <v>43517</v>
      </c>
      <c r="D1207">
        <v>2019</v>
      </c>
      <c r="E1207">
        <v>2</v>
      </c>
      <c r="F1207">
        <v>0</v>
      </c>
      <c r="G1207" t="s">
        <v>9</v>
      </c>
    </row>
    <row r="1208" spans="1:7" x14ac:dyDescent="0.25">
      <c r="A1208" t="s">
        <v>7</v>
      </c>
      <c r="B1208" t="s">
        <v>8</v>
      </c>
      <c r="C1208" s="1">
        <v>43518</v>
      </c>
      <c r="D1208">
        <v>2019</v>
      </c>
      <c r="E1208">
        <v>2</v>
      </c>
      <c r="F1208">
        <v>0</v>
      </c>
      <c r="G1208" t="s">
        <v>9</v>
      </c>
    </row>
    <row r="1209" spans="1:7" x14ac:dyDescent="0.25">
      <c r="A1209" t="s">
        <v>7</v>
      </c>
      <c r="B1209" t="s">
        <v>8</v>
      </c>
      <c r="C1209" s="1">
        <v>43523</v>
      </c>
      <c r="D1209">
        <v>2019</v>
      </c>
      <c r="E1209">
        <v>2</v>
      </c>
      <c r="F1209">
        <v>0</v>
      </c>
      <c r="G1209" t="s">
        <v>9</v>
      </c>
    </row>
    <row r="1210" spans="1:7" x14ac:dyDescent="0.25">
      <c r="A1210" t="s">
        <v>7</v>
      </c>
      <c r="B1210" t="s">
        <v>8</v>
      </c>
      <c r="C1210" s="1">
        <v>43531</v>
      </c>
      <c r="D1210">
        <v>2019</v>
      </c>
      <c r="E1210">
        <v>3</v>
      </c>
      <c r="F1210">
        <v>0</v>
      </c>
      <c r="G1210" t="s">
        <v>9</v>
      </c>
    </row>
    <row r="1211" spans="1:7" x14ac:dyDescent="0.25">
      <c r="A1211" t="s">
        <v>7</v>
      </c>
      <c r="B1211" t="s">
        <v>8</v>
      </c>
      <c r="C1211" s="1">
        <v>43547</v>
      </c>
      <c r="D1211">
        <v>2019</v>
      </c>
      <c r="E1211">
        <v>3</v>
      </c>
      <c r="F1211">
        <v>0</v>
      </c>
      <c r="G1211" t="s">
        <v>9</v>
      </c>
    </row>
    <row r="1212" spans="1:7" x14ac:dyDescent="0.25">
      <c r="A1212" t="s">
        <v>7</v>
      </c>
      <c r="B1212" t="s">
        <v>8</v>
      </c>
      <c r="C1212" s="1">
        <v>43549</v>
      </c>
      <c r="D1212">
        <v>2019</v>
      </c>
      <c r="E1212">
        <v>3</v>
      </c>
      <c r="F1212">
        <v>0</v>
      </c>
      <c r="G1212" t="s">
        <v>9</v>
      </c>
    </row>
    <row r="1213" spans="1:7" x14ac:dyDescent="0.25">
      <c r="A1213" t="s">
        <v>7</v>
      </c>
      <c r="B1213" t="s">
        <v>8</v>
      </c>
      <c r="C1213" s="1">
        <v>43558</v>
      </c>
      <c r="D1213">
        <v>2019</v>
      </c>
      <c r="E1213">
        <v>4</v>
      </c>
      <c r="F1213">
        <v>0</v>
      </c>
      <c r="G1213" t="s">
        <v>9</v>
      </c>
    </row>
    <row r="1214" spans="1:7" x14ac:dyDescent="0.25">
      <c r="A1214" t="s">
        <v>7</v>
      </c>
      <c r="B1214" t="s">
        <v>8</v>
      </c>
      <c r="C1214" s="1">
        <v>43561</v>
      </c>
      <c r="D1214">
        <v>2019</v>
      </c>
      <c r="E1214">
        <v>4</v>
      </c>
      <c r="F1214">
        <v>0</v>
      </c>
      <c r="G1214" t="s">
        <v>9</v>
      </c>
    </row>
    <row r="1215" spans="1:7" x14ac:dyDescent="0.25">
      <c r="A1215" t="s">
        <v>7</v>
      </c>
      <c r="B1215" t="s">
        <v>8</v>
      </c>
      <c r="C1215" s="1">
        <v>43563</v>
      </c>
      <c r="D1215">
        <v>2019</v>
      </c>
      <c r="E1215">
        <v>4</v>
      </c>
      <c r="F1215">
        <v>0</v>
      </c>
      <c r="G1215" t="s">
        <v>9</v>
      </c>
    </row>
    <row r="1216" spans="1:7" x14ac:dyDescent="0.25">
      <c r="A1216" t="s">
        <v>7</v>
      </c>
      <c r="B1216" t="s">
        <v>8</v>
      </c>
      <c r="C1216" s="1">
        <v>43566</v>
      </c>
      <c r="D1216">
        <v>2019</v>
      </c>
      <c r="E1216">
        <v>4</v>
      </c>
      <c r="F1216">
        <v>0</v>
      </c>
      <c r="G1216" t="s">
        <v>9</v>
      </c>
    </row>
    <row r="1217" spans="1:7" x14ac:dyDescent="0.25">
      <c r="A1217" t="s">
        <v>7</v>
      </c>
      <c r="B1217" t="s">
        <v>8</v>
      </c>
      <c r="C1217" s="1">
        <v>43589</v>
      </c>
      <c r="D1217">
        <v>2019</v>
      </c>
      <c r="E1217">
        <v>5</v>
      </c>
      <c r="F1217">
        <v>0</v>
      </c>
      <c r="G1217" t="s">
        <v>9</v>
      </c>
    </row>
    <row r="1218" spans="1:7" x14ac:dyDescent="0.25">
      <c r="A1218" t="s">
        <v>7</v>
      </c>
      <c r="B1218" t="s">
        <v>8</v>
      </c>
      <c r="C1218" s="1">
        <v>43590</v>
      </c>
      <c r="D1218">
        <v>2019</v>
      </c>
      <c r="E1218">
        <v>5</v>
      </c>
      <c r="F1218">
        <v>0</v>
      </c>
      <c r="G1218" t="s">
        <v>9</v>
      </c>
    </row>
    <row r="1219" spans="1:7" x14ac:dyDescent="0.25">
      <c r="A1219" t="s">
        <v>7</v>
      </c>
      <c r="B1219" t="s">
        <v>8</v>
      </c>
      <c r="C1219" s="1">
        <v>43596</v>
      </c>
      <c r="D1219">
        <v>2019</v>
      </c>
      <c r="E1219">
        <v>5</v>
      </c>
      <c r="F1219">
        <v>0</v>
      </c>
      <c r="G1219" t="s">
        <v>9</v>
      </c>
    </row>
    <row r="1220" spans="1:7" x14ac:dyDescent="0.25">
      <c r="A1220" t="s">
        <v>7</v>
      </c>
      <c r="B1220" t="s">
        <v>8</v>
      </c>
      <c r="C1220" s="1">
        <v>43597</v>
      </c>
      <c r="D1220">
        <v>2019</v>
      </c>
      <c r="E1220">
        <v>5</v>
      </c>
      <c r="F1220">
        <v>0</v>
      </c>
      <c r="G1220" t="s">
        <v>9</v>
      </c>
    </row>
    <row r="1221" spans="1:7" x14ac:dyDescent="0.25">
      <c r="A1221" t="s">
        <v>7</v>
      </c>
      <c r="B1221" t="s">
        <v>8</v>
      </c>
      <c r="C1221" s="1">
        <v>43611</v>
      </c>
      <c r="D1221">
        <v>2019</v>
      </c>
      <c r="E1221">
        <v>5</v>
      </c>
      <c r="F1221">
        <v>0</v>
      </c>
      <c r="G1221" t="s">
        <v>9</v>
      </c>
    </row>
    <row r="1222" spans="1:7" x14ac:dyDescent="0.25">
      <c r="A1222" t="s">
        <v>7</v>
      </c>
      <c r="B1222" t="s">
        <v>8</v>
      </c>
      <c r="C1222" s="1">
        <v>43614</v>
      </c>
      <c r="D1222">
        <v>2019</v>
      </c>
      <c r="E1222">
        <v>5</v>
      </c>
      <c r="F1222">
        <v>0</v>
      </c>
      <c r="G1222" t="s">
        <v>9</v>
      </c>
    </row>
    <row r="1223" spans="1:7" x14ac:dyDescent="0.25">
      <c r="A1223" t="s">
        <v>7</v>
      </c>
      <c r="B1223" t="s">
        <v>8</v>
      </c>
      <c r="C1223" s="1">
        <v>43622</v>
      </c>
      <c r="D1223">
        <v>2019</v>
      </c>
      <c r="E1223">
        <v>6</v>
      </c>
      <c r="F1223">
        <v>0</v>
      </c>
      <c r="G1223" t="s">
        <v>9</v>
      </c>
    </row>
    <row r="1224" spans="1:7" x14ac:dyDescent="0.25">
      <c r="A1224" t="s">
        <v>7</v>
      </c>
      <c r="B1224" t="s">
        <v>8</v>
      </c>
      <c r="C1224" s="1">
        <v>43623</v>
      </c>
      <c r="D1224">
        <v>2019</v>
      </c>
      <c r="E1224">
        <v>6</v>
      </c>
      <c r="F1224">
        <v>0</v>
      </c>
      <c r="G1224" t="s">
        <v>9</v>
      </c>
    </row>
    <row r="1225" spans="1:7" x14ac:dyDescent="0.25">
      <c r="A1225" t="s">
        <v>7</v>
      </c>
      <c r="B1225" t="s">
        <v>8</v>
      </c>
      <c r="C1225" s="1">
        <v>43631</v>
      </c>
      <c r="D1225">
        <v>2019</v>
      </c>
      <c r="E1225">
        <v>6</v>
      </c>
      <c r="F1225">
        <v>0</v>
      </c>
      <c r="G1225" t="s">
        <v>9</v>
      </c>
    </row>
    <row r="1226" spans="1:7" x14ac:dyDescent="0.25">
      <c r="A1226" t="s">
        <v>7</v>
      </c>
      <c r="B1226" t="s">
        <v>8</v>
      </c>
      <c r="C1226" s="1">
        <v>43632</v>
      </c>
      <c r="D1226">
        <v>2019</v>
      </c>
      <c r="E1226">
        <v>6</v>
      </c>
      <c r="F1226">
        <v>0</v>
      </c>
      <c r="G1226" t="s">
        <v>9</v>
      </c>
    </row>
    <row r="1227" spans="1:7" x14ac:dyDescent="0.25">
      <c r="A1227" t="s">
        <v>7</v>
      </c>
      <c r="B1227" t="s">
        <v>8</v>
      </c>
      <c r="C1227" s="1">
        <v>43637</v>
      </c>
      <c r="D1227">
        <v>2019</v>
      </c>
      <c r="E1227">
        <v>6</v>
      </c>
      <c r="F1227">
        <v>0</v>
      </c>
      <c r="G1227" t="s">
        <v>9</v>
      </c>
    </row>
    <row r="1228" spans="1:7" x14ac:dyDescent="0.25">
      <c r="A1228" t="s">
        <v>7</v>
      </c>
      <c r="B1228" t="s">
        <v>8</v>
      </c>
      <c r="C1228" s="1">
        <v>43640</v>
      </c>
      <c r="D1228">
        <v>2019</v>
      </c>
      <c r="E1228">
        <v>6</v>
      </c>
      <c r="F1228">
        <v>6.9263262230000002</v>
      </c>
      <c r="G1228" t="s">
        <v>9</v>
      </c>
    </row>
    <row r="1229" spans="1:7" x14ac:dyDescent="0.25">
      <c r="A1229" t="s">
        <v>7</v>
      </c>
      <c r="B1229" t="s">
        <v>8</v>
      </c>
      <c r="C1229" s="1">
        <v>43646</v>
      </c>
      <c r="D1229">
        <v>2019</v>
      </c>
      <c r="E1229">
        <v>6</v>
      </c>
      <c r="F1229">
        <v>0</v>
      </c>
      <c r="G1229" t="s">
        <v>9</v>
      </c>
    </row>
    <row r="1230" spans="1:7" x14ac:dyDescent="0.25">
      <c r="A1230" t="s">
        <v>7</v>
      </c>
      <c r="B1230" t="s">
        <v>8</v>
      </c>
      <c r="C1230" s="1">
        <v>43652</v>
      </c>
      <c r="D1230">
        <v>2019</v>
      </c>
      <c r="E1230">
        <v>7</v>
      </c>
      <c r="F1230">
        <v>0.23650154800000001</v>
      </c>
      <c r="G1230" t="s">
        <v>9</v>
      </c>
    </row>
    <row r="1231" spans="1:7" x14ac:dyDescent="0.25">
      <c r="A1231" t="s">
        <v>7</v>
      </c>
      <c r="B1231" t="s">
        <v>8</v>
      </c>
      <c r="C1231" s="1">
        <v>43656</v>
      </c>
      <c r="D1231">
        <v>2019</v>
      </c>
      <c r="E1231">
        <v>7</v>
      </c>
      <c r="F1231">
        <v>12.776421300000001</v>
      </c>
      <c r="G1231" t="s">
        <v>9</v>
      </c>
    </row>
    <row r="1232" spans="1:7" x14ac:dyDescent="0.25">
      <c r="A1232" t="s">
        <v>7</v>
      </c>
      <c r="B1232" t="s">
        <v>8</v>
      </c>
      <c r="C1232" s="1">
        <v>43660</v>
      </c>
      <c r="D1232">
        <v>2019</v>
      </c>
      <c r="E1232">
        <v>7</v>
      </c>
      <c r="F1232">
        <v>0.114678355</v>
      </c>
      <c r="G1232" t="s">
        <v>9</v>
      </c>
    </row>
    <row r="1233" spans="1:7" x14ac:dyDescent="0.25">
      <c r="A1233" t="s">
        <v>7</v>
      </c>
      <c r="B1233" t="s">
        <v>8</v>
      </c>
      <c r="C1233" s="1">
        <v>43666</v>
      </c>
      <c r="D1233">
        <v>2019</v>
      </c>
      <c r="E1233">
        <v>7</v>
      </c>
      <c r="F1233">
        <v>0.38435509200000001</v>
      </c>
      <c r="G1233" t="s">
        <v>9</v>
      </c>
    </row>
    <row r="1234" spans="1:7" x14ac:dyDescent="0.25">
      <c r="A1234" t="s">
        <v>7</v>
      </c>
      <c r="B1234" t="s">
        <v>8</v>
      </c>
      <c r="C1234" s="1">
        <v>43667</v>
      </c>
      <c r="D1234">
        <v>2019</v>
      </c>
      <c r="E1234">
        <v>7</v>
      </c>
      <c r="F1234">
        <v>0.97051298399999997</v>
      </c>
      <c r="G1234" t="s">
        <v>9</v>
      </c>
    </row>
    <row r="1235" spans="1:7" x14ac:dyDescent="0.25">
      <c r="A1235" t="s">
        <v>7</v>
      </c>
      <c r="B1235" t="s">
        <v>8</v>
      </c>
      <c r="C1235" s="1">
        <v>43668</v>
      </c>
      <c r="D1235">
        <v>2019</v>
      </c>
      <c r="E1235">
        <v>7</v>
      </c>
      <c r="F1235">
        <v>6.3742354000000001E-2</v>
      </c>
      <c r="G1235" t="s">
        <v>9</v>
      </c>
    </row>
    <row r="1236" spans="1:7" x14ac:dyDescent="0.25">
      <c r="A1236" t="s">
        <v>7</v>
      </c>
      <c r="B1236" t="s">
        <v>8</v>
      </c>
      <c r="C1236" s="1">
        <v>43676</v>
      </c>
      <c r="D1236">
        <v>2019</v>
      </c>
      <c r="E1236">
        <v>7</v>
      </c>
      <c r="F1236">
        <v>9.7601498529999997</v>
      </c>
      <c r="G1236" t="s">
        <v>9</v>
      </c>
    </row>
    <row r="1237" spans="1:7" x14ac:dyDescent="0.25">
      <c r="A1237" t="s">
        <v>7</v>
      </c>
      <c r="B1237" t="s">
        <v>8</v>
      </c>
      <c r="C1237" s="1">
        <v>43677</v>
      </c>
      <c r="D1237">
        <v>2019</v>
      </c>
      <c r="E1237">
        <v>7</v>
      </c>
      <c r="F1237">
        <v>0</v>
      </c>
      <c r="G1237" t="s">
        <v>9</v>
      </c>
    </row>
    <row r="1238" spans="1:7" x14ac:dyDescent="0.25">
      <c r="A1238" t="s">
        <v>7</v>
      </c>
      <c r="B1238" t="s">
        <v>8</v>
      </c>
      <c r="C1238" s="1">
        <v>43691</v>
      </c>
      <c r="D1238">
        <v>2019</v>
      </c>
      <c r="E1238">
        <v>8</v>
      </c>
      <c r="F1238">
        <v>2.4197530729999999</v>
      </c>
      <c r="G1238" t="s">
        <v>9</v>
      </c>
    </row>
    <row r="1239" spans="1:7" x14ac:dyDescent="0.25">
      <c r="A1239" t="s">
        <v>7</v>
      </c>
      <c r="B1239" t="s">
        <v>8</v>
      </c>
      <c r="C1239" s="1">
        <v>43697</v>
      </c>
      <c r="D1239">
        <v>2019</v>
      </c>
      <c r="E1239">
        <v>8</v>
      </c>
      <c r="F1239">
        <v>2.2218240470000001</v>
      </c>
      <c r="G1239" t="s">
        <v>9</v>
      </c>
    </row>
    <row r="1240" spans="1:7" x14ac:dyDescent="0.25">
      <c r="A1240" t="s">
        <v>7</v>
      </c>
      <c r="B1240" t="s">
        <v>8</v>
      </c>
      <c r="C1240" s="1">
        <v>43700</v>
      </c>
      <c r="D1240">
        <v>2019</v>
      </c>
      <c r="E1240">
        <v>8</v>
      </c>
      <c r="F1240">
        <v>6.7806810000000002E-3</v>
      </c>
      <c r="G1240" t="s">
        <v>9</v>
      </c>
    </row>
    <row r="1241" spans="1:7" x14ac:dyDescent="0.25">
      <c r="A1241" t="s">
        <v>7</v>
      </c>
      <c r="B1241" t="s">
        <v>8</v>
      </c>
      <c r="C1241" s="1">
        <v>43702</v>
      </c>
      <c r="D1241">
        <v>2019</v>
      </c>
      <c r="E1241">
        <v>8</v>
      </c>
      <c r="F1241">
        <v>0</v>
      </c>
      <c r="G1241" t="s">
        <v>9</v>
      </c>
    </row>
    <row r="1242" spans="1:7" x14ac:dyDescent="0.25">
      <c r="A1242" t="s">
        <v>7</v>
      </c>
      <c r="B1242" t="s">
        <v>8</v>
      </c>
      <c r="C1242" s="1">
        <v>43723</v>
      </c>
      <c r="D1242">
        <v>2019</v>
      </c>
      <c r="E1242">
        <v>9</v>
      </c>
      <c r="F1242">
        <v>32.359858719999998</v>
      </c>
      <c r="G1242" t="s">
        <v>9</v>
      </c>
    </row>
    <row r="1243" spans="1:7" x14ac:dyDescent="0.25">
      <c r="A1243" t="s">
        <v>7</v>
      </c>
      <c r="B1243" t="s">
        <v>8</v>
      </c>
      <c r="C1243" s="1">
        <v>43732</v>
      </c>
      <c r="D1243">
        <v>2019</v>
      </c>
      <c r="E1243">
        <v>9</v>
      </c>
      <c r="F1243">
        <v>0.33766484099999999</v>
      </c>
      <c r="G1243" t="s">
        <v>9</v>
      </c>
    </row>
    <row r="1244" spans="1:7" x14ac:dyDescent="0.25">
      <c r="A1244" t="s">
        <v>7</v>
      </c>
      <c r="B1244" t="s">
        <v>8</v>
      </c>
      <c r="C1244" s="1">
        <v>43745</v>
      </c>
      <c r="D1244">
        <v>2019</v>
      </c>
      <c r="E1244">
        <v>10</v>
      </c>
      <c r="F1244">
        <v>0</v>
      </c>
      <c r="G1244" t="s">
        <v>9</v>
      </c>
    </row>
    <row r="1245" spans="1:7" x14ac:dyDescent="0.25">
      <c r="A1245" t="s">
        <v>7</v>
      </c>
      <c r="B1245" t="s">
        <v>8</v>
      </c>
      <c r="C1245" s="1">
        <v>43758</v>
      </c>
      <c r="D1245">
        <v>2019</v>
      </c>
      <c r="E1245">
        <v>10</v>
      </c>
      <c r="F1245">
        <v>8.8206512220000004</v>
      </c>
      <c r="G1245" t="s">
        <v>9</v>
      </c>
    </row>
    <row r="1246" spans="1:7" x14ac:dyDescent="0.25">
      <c r="A1246" t="s">
        <v>7</v>
      </c>
      <c r="B1246" t="s">
        <v>8</v>
      </c>
      <c r="C1246" s="1">
        <v>43759</v>
      </c>
      <c r="D1246">
        <v>2019</v>
      </c>
      <c r="E1246">
        <v>10</v>
      </c>
      <c r="F1246">
        <v>14.25888003</v>
      </c>
      <c r="G1246" t="s">
        <v>9</v>
      </c>
    </row>
    <row r="1247" spans="1:7" x14ac:dyDescent="0.25">
      <c r="A1247" t="s">
        <v>7</v>
      </c>
      <c r="B1247" t="s">
        <v>8</v>
      </c>
      <c r="C1247" s="1">
        <v>43767</v>
      </c>
      <c r="D1247">
        <v>2019</v>
      </c>
      <c r="E1247">
        <v>10</v>
      </c>
      <c r="F1247">
        <v>23.07906165</v>
      </c>
      <c r="G1247" t="s">
        <v>9</v>
      </c>
    </row>
    <row r="1248" spans="1:7" x14ac:dyDescent="0.25">
      <c r="A1248" t="s">
        <v>7</v>
      </c>
      <c r="B1248" t="s">
        <v>8</v>
      </c>
      <c r="C1248" s="1">
        <v>43770</v>
      </c>
      <c r="D1248">
        <v>2019</v>
      </c>
      <c r="E1248">
        <v>11</v>
      </c>
      <c r="F1248">
        <v>4.0154988469999999</v>
      </c>
      <c r="G1248" t="s">
        <v>9</v>
      </c>
    </row>
    <row r="1249" spans="1:7" x14ac:dyDescent="0.25">
      <c r="A1249" t="s">
        <v>7</v>
      </c>
      <c r="B1249" t="s">
        <v>8</v>
      </c>
      <c r="C1249" s="1">
        <v>43775</v>
      </c>
      <c r="D1249">
        <v>2019</v>
      </c>
      <c r="E1249">
        <v>11</v>
      </c>
      <c r="F1249">
        <v>0</v>
      </c>
      <c r="G1249" t="s">
        <v>9</v>
      </c>
    </row>
    <row r="1250" spans="1:7" x14ac:dyDescent="0.25">
      <c r="A1250" t="s">
        <v>7</v>
      </c>
      <c r="B1250" t="s">
        <v>8</v>
      </c>
      <c r="C1250" s="1">
        <v>43778</v>
      </c>
      <c r="D1250">
        <v>2019</v>
      </c>
      <c r="E1250">
        <v>11</v>
      </c>
      <c r="F1250">
        <v>0</v>
      </c>
      <c r="G1250" t="s">
        <v>9</v>
      </c>
    </row>
    <row r="1251" spans="1:7" x14ac:dyDescent="0.25">
      <c r="A1251" t="s">
        <v>7</v>
      </c>
      <c r="B1251" t="s">
        <v>8</v>
      </c>
      <c r="C1251" s="1">
        <v>43779</v>
      </c>
      <c r="D1251">
        <v>2019</v>
      </c>
      <c r="E1251">
        <v>11</v>
      </c>
      <c r="F1251">
        <v>1.69517E-3</v>
      </c>
      <c r="G1251" t="s">
        <v>9</v>
      </c>
    </row>
    <row r="1252" spans="1:7" x14ac:dyDescent="0.25">
      <c r="A1252" t="s">
        <v>7</v>
      </c>
      <c r="B1252" t="s">
        <v>8</v>
      </c>
      <c r="C1252" s="1">
        <v>43780</v>
      </c>
      <c r="D1252">
        <v>2019</v>
      </c>
      <c r="E1252">
        <v>11</v>
      </c>
      <c r="F1252">
        <v>0.55457884300000004</v>
      </c>
      <c r="G1252" t="s">
        <v>9</v>
      </c>
    </row>
    <row r="1253" spans="1:7" x14ac:dyDescent="0.25">
      <c r="A1253" t="s">
        <v>7</v>
      </c>
      <c r="B1253" t="s">
        <v>8</v>
      </c>
      <c r="C1253" s="1">
        <v>43784</v>
      </c>
      <c r="D1253">
        <v>2019</v>
      </c>
      <c r="E1253">
        <v>11</v>
      </c>
      <c r="F1253">
        <v>9.6500765489999996</v>
      </c>
      <c r="G1253" t="s">
        <v>9</v>
      </c>
    </row>
    <row r="1254" spans="1:7" x14ac:dyDescent="0.25">
      <c r="A1254" t="s">
        <v>7</v>
      </c>
      <c r="B1254" t="s">
        <v>8</v>
      </c>
      <c r="C1254" s="1">
        <v>43793</v>
      </c>
      <c r="D1254">
        <v>2019</v>
      </c>
      <c r="E1254">
        <v>11</v>
      </c>
      <c r="F1254">
        <v>0</v>
      </c>
      <c r="G1254" t="s">
        <v>9</v>
      </c>
    </row>
    <row r="1255" spans="1:7" x14ac:dyDescent="0.25">
      <c r="A1255" t="s">
        <v>7</v>
      </c>
      <c r="B1255" t="s">
        <v>8</v>
      </c>
      <c r="C1255" s="1">
        <v>43794</v>
      </c>
      <c r="D1255">
        <v>2019</v>
      </c>
      <c r="E1255">
        <v>11</v>
      </c>
      <c r="F1255">
        <v>0.53913256700000001</v>
      </c>
      <c r="G1255" t="s">
        <v>9</v>
      </c>
    </row>
    <row r="1256" spans="1:7" x14ac:dyDescent="0.25">
      <c r="A1256" t="s">
        <v>7</v>
      </c>
      <c r="B1256" t="s">
        <v>8</v>
      </c>
      <c r="C1256" s="1">
        <v>43795</v>
      </c>
      <c r="D1256">
        <v>2019</v>
      </c>
      <c r="E1256">
        <v>11</v>
      </c>
      <c r="F1256">
        <v>0</v>
      </c>
      <c r="G1256" t="s">
        <v>9</v>
      </c>
    </row>
    <row r="1257" spans="1:7" x14ac:dyDescent="0.25">
      <c r="A1257" t="s">
        <v>7</v>
      </c>
      <c r="B1257" t="s">
        <v>8</v>
      </c>
      <c r="C1257" s="1">
        <v>43801</v>
      </c>
      <c r="D1257">
        <v>2019</v>
      </c>
      <c r="E1257">
        <v>12</v>
      </c>
      <c r="F1257">
        <v>30.766650129999999</v>
      </c>
      <c r="G1257" t="s">
        <v>9</v>
      </c>
    </row>
    <row r="1258" spans="1:7" x14ac:dyDescent="0.25">
      <c r="A1258" t="s">
        <v>7</v>
      </c>
      <c r="B1258" t="s">
        <v>8</v>
      </c>
      <c r="C1258" s="1">
        <v>43803</v>
      </c>
      <c r="D1258">
        <v>2019</v>
      </c>
      <c r="E1258">
        <v>12</v>
      </c>
      <c r="F1258">
        <v>0.79374861600000002</v>
      </c>
      <c r="G1258" t="s">
        <v>9</v>
      </c>
    </row>
    <row r="1259" spans="1:7" x14ac:dyDescent="0.25">
      <c r="A1259" t="s">
        <v>7</v>
      </c>
      <c r="B1259" t="s">
        <v>8</v>
      </c>
      <c r="C1259" s="1">
        <v>43807</v>
      </c>
      <c r="D1259">
        <v>2019</v>
      </c>
      <c r="E1259">
        <v>12</v>
      </c>
      <c r="F1259">
        <v>0.71738900800000005</v>
      </c>
      <c r="G1259" t="s">
        <v>9</v>
      </c>
    </row>
    <row r="1260" spans="1:7" x14ac:dyDescent="0.25">
      <c r="A1260" t="s">
        <v>7</v>
      </c>
      <c r="B1260" t="s">
        <v>8</v>
      </c>
      <c r="C1260" s="1">
        <v>43813</v>
      </c>
      <c r="D1260">
        <v>2019</v>
      </c>
      <c r="E1260">
        <v>12</v>
      </c>
      <c r="F1260">
        <v>30.591328860000001</v>
      </c>
      <c r="G1260" t="s">
        <v>9</v>
      </c>
    </row>
    <row r="1261" spans="1:7" x14ac:dyDescent="0.25">
      <c r="A1261" t="s">
        <v>7</v>
      </c>
      <c r="B1261" t="s">
        <v>8</v>
      </c>
      <c r="C1261" s="1">
        <v>43818</v>
      </c>
      <c r="D1261">
        <v>2019</v>
      </c>
      <c r="E1261">
        <v>12</v>
      </c>
      <c r="F1261">
        <v>0.461226107</v>
      </c>
      <c r="G1261" t="s">
        <v>9</v>
      </c>
    </row>
    <row r="1262" spans="1:7" x14ac:dyDescent="0.25">
      <c r="A1262" t="s">
        <v>7</v>
      </c>
      <c r="B1262" t="s">
        <v>8</v>
      </c>
      <c r="C1262" s="1">
        <v>43821</v>
      </c>
      <c r="D1262">
        <v>2019</v>
      </c>
      <c r="E1262">
        <v>12</v>
      </c>
      <c r="F1262">
        <v>0</v>
      </c>
      <c r="G1262" t="s">
        <v>9</v>
      </c>
    </row>
    <row r="1263" spans="1:7" x14ac:dyDescent="0.25">
      <c r="A1263" t="s">
        <v>7</v>
      </c>
      <c r="B1263" t="s">
        <v>8</v>
      </c>
      <c r="C1263" s="1">
        <v>43828</v>
      </c>
      <c r="D1263">
        <v>2019</v>
      </c>
      <c r="E1263">
        <v>12</v>
      </c>
      <c r="F1263">
        <v>0</v>
      </c>
      <c r="G1263" t="s">
        <v>9</v>
      </c>
    </row>
    <row r="1264" spans="1:7" x14ac:dyDescent="0.25">
      <c r="A1264" t="s">
        <v>7</v>
      </c>
      <c r="B1264" t="s">
        <v>8</v>
      </c>
      <c r="C1264" s="1">
        <v>43734</v>
      </c>
      <c r="D1264">
        <v>2019</v>
      </c>
      <c r="E1264">
        <v>9</v>
      </c>
      <c r="F1264">
        <v>5.4950862330000003</v>
      </c>
      <c r="G1264" t="s">
        <v>9</v>
      </c>
    </row>
    <row r="1265" spans="1:7" x14ac:dyDescent="0.25">
      <c r="A1265" t="s">
        <v>7</v>
      </c>
      <c r="B1265" t="s">
        <v>10</v>
      </c>
      <c r="C1265" s="1">
        <v>43474</v>
      </c>
      <c r="D1265">
        <v>2019</v>
      </c>
      <c r="E1265">
        <v>1</v>
      </c>
      <c r="F1265">
        <v>0</v>
      </c>
      <c r="G1265" t="s">
        <v>9</v>
      </c>
    </row>
    <row r="1266" spans="1:7" x14ac:dyDescent="0.25">
      <c r="A1266" t="s">
        <v>7</v>
      </c>
      <c r="B1266" t="s">
        <v>10</v>
      </c>
      <c r="C1266" s="1">
        <v>43476</v>
      </c>
      <c r="D1266">
        <v>2019</v>
      </c>
      <c r="E1266">
        <v>1</v>
      </c>
      <c r="F1266">
        <v>0</v>
      </c>
      <c r="G1266" t="s">
        <v>9</v>
      </c>
    </row>
    <row r="1267" spans="1:7" x14ac:dyDescent="0.25">
      <c r="A1267" t="s">
        <v>7</v>
      </c>
      <c r="B1267" t="s">
        <v>10</v>
      </c>
      <c r="C1267" s="1">
        <v>43477</v>
      </c>
      <c r="D1267">
        <v>2019</v>
      </c>
      <c r="E1267">
        <v>1</v>
      </c>
      <c r="F1267">
        <v>0</v>
      </c>
      <c r="G1267" t="s">
        <v>9</v>
      </c>
    </row>
    <row r="1268" spans="1:7" x14ac:dyDescent="0.25">
      <c r="A1268" t="s">
        <v>7</v>
      </c>
      <c r="B1268" t="s">
        <v>10</v>
      </c>
      <c r="C1268" s="1">
        <v>43480</v>
      </c>
      <c r="D1268">
        <v>2019</v>
      </c>
      <c r="E1268">
        <v>1</v>
      </c>
      <c r="F1268">
        <v>0</v>
      </c>
      <c r="G1268" t="s">
        <v>9</v>
      </c>
    </row>
    <row r="1269" spans="1:7" x14ac:dyDescent="0.25">
      <c r="A1269" t="s">
        <v>7</v>
      </c>
      <c r="B1269" t="s">
        <v>10</v>
      </c>
      <c r="C1269" s="1">
        <v>43481</v>
      </c>
      <c r="D1269">
        <v>2019</v>
      </c>
      <c r="E1269">
        <v>1</v>
      </c>
      <c r="F1269">
        <v>0</v>
      </c>
      <c r="G1269" t="s">
        <v>9</v>
      </c>
    </row>
    <row r="1270" spans="1:7" x14ac:dyDescent="0.25">
      <c r="A1270" t="s">
        <v>7</v>
      </c>
      <c r="B1270" t="s">
        <v>10</v>
      </c>
      <c r="C1270" s="1">
        <v>43484</v>
      </c>
      <c r="D1270">
        <v>2019</v>
      </c>
      <c r="E1270">
        <v>1</v>
      </c>
      <c r="F1270">
        <v>0</v>
      </c>
      <c r="G1270" t="s">
        <v>9</v>
      </c>
    </row>
    <row r="1271" spans="1:7" x14ac:dyDescent="0.25">
      <c r="A1271" t="s">
        <v>7</v>
      </c>
      <c r="B1271" t="s">
        <v>10</v>
      </c>
      <c r="C1271" s="1">
        <v>43487</v>
      </c>
      <c r="D1271">
        <v>2019</v>
      </c>
      <c r="E1271">
        <v>1</v>
      </c>
      <c r="F1271">
        <v>0</v>
      </c>
      <c r="G1271" t="s">
        <v>9</v>
      </c>
    </row>
    <row r="1272" spans="1:7" x14ac:dyDescent="0.25">
      <c r="A1272" t="s">
        <v>7</v>
      </c>
      <c r="B1272" t="s">
        <v>10</v>
      </c>
      <c r="C1272" s="1">
        <v>43490</v>
      </c>
      <c r="D1272">
        <v>2019</v>
      </c>
      <c r="E1272">
        <v>1</v>
      </c>
      <c r="F1272">
        <v>0</v>
      </c>
      <c r="G1272" t="s">
        <v>9</v>
      </c>
    </row>
    <row r="1273" spans="1:7" x14ac:dyDescent="0.25">
      <c r="A1273" t="s">
        <v>7</v>
      </c>
      <c r="B1273" t="s">
        <v>10</v>
      </c>
      <c r="C1273" s="1">
        <v>43497</v>
      </c>
      <c r="D1273">
        <v>2019</v>
      </c>
      <c r="E1273">
        <v>2</v>
      </c>
      <c r="F1273">
        <v>0</v>
      </c>
      <c r="G1273" t="s">
        <v>9</v>
      </c>
    </row>
    <row r="1274" spans="1:7" x14ac:dyDescent="0.25">
      <c r="A1274" t="s">
        <v>7</v>
      </c>
      <c r="B1274" t="s">
        <v>10</v>
      </c>
      <c r="C1274" s="1">
        <v>43504</v>
      </c>
      <c r="D1274">
        <v>2019</v>
      </c>
      <c r="E1274">
        <v>2</v>
      </c>
      <c r="F1274">
        <v>0</v>
      </c>
      <c r="G1274" t="s">
        <v>9</v>
      </c>
    </row>
    <row r="1275" spans="1:7" x14ac:dyDescent="0.25">
      <c r="A1275" t="s">
        <v>7</v>
      </c>
      <c r="B1275" t="s">
        <v>10</v>
      </c>
      <c r="C1275" s="1">
        <v>43508</v>
      </c>
      <c r="D1275">
        <v>2019</v>
      </c>
      <c r="E1275">
        <v>2</v>
      </c>
      <c r="F1275">
        <v>0</v>
      </c>
      <c r="G1275" t="s">
        <v>9</v>
      </c>
    </row>
    <row r="1276" spans="1:7" x14ac:dyDescent="0.25">
      <c r="A1276" t="s">
        <v>7</v>
      </c>
      <c r="B1276" t="s">
        <v>10</v>
      </c>
      <c r="C1276" s="1">
        <v>43527</v>
      </c>
      <c r="D1276">
        <v>2019</v>
      </c>
      <c r="E1276">
        <v>3</v>
      </c>
      <c r="F1276">
        <v>4.9244675640000004</v>
      </c>
      <c r="G1276" t="s">
        <v>9</v>
      </c>
    </row>
    <row r="1277" spans="1:7" x14ac:dyDescent="0.25">
      <c r="A1277" t="s">
        <v>7</v>
      </c>
      <c r="B1277" t="s">
        <v>10</v>
      </c>
      <c r="C1277" s="1">
        <v>43532</v>
      </c>
      <c r="D1277">
        <v>2019</v>
      </c>
      <c r="E1277">
        <v>3</v>
      </c>
      <c r="F1277">
        <v>0</v>
      </c>
      <c r="G1277" t="s">
        <v>9</v>
      </c>
    </row>
    <row r="1278" spans="1:7" x14ac:dyDescent="0.25">
      <c r="A1278" t="s">
        <v>7</v>
      </c>
      <c r="B1278" t="s">
        <v>10</v>
      </c>
      <c r="C1278" s="1">
        <v>43536</v>
      </c>
      <c r="D1278">
        <v>2019</v>
      </c>
      <c r="E1278">
        <v>3</v>
      </c>
      <c r="F1278">
        <v>0</v>
      </c>
      <c r="G1278" t="s">
        <v>9</v>
      </c>
    </row>
    <row r="1279" spans="1:7" x14ac:dyDescent="0.25">
      <c r="A1279" t="s">
        <v>7</v>
      </c>
      <c r="B1279" t="s">
        <v>10</v>
      </c>
      <c r="C1279" s="1">
        <v>43539</v>
      </c>
      <c r="D1279">
        <v>2019</v>
      </c>
      <c r="E1279">
        <v>3</v>
      </c>
      <c r="F1279">
        <v>0</v>
      </c>
      <c r="G1279" t="s">
        <v>9</v>
      </c>
    </row>
    <row r="1280" spans="1:7" x14ac:dyDescent="0.25">
      <c r="A1280" t="s">
        <v>7</v>
      </c>
      <c r="B1280" t="s">
        <v>10</v>
      </c>
      <c r="C1280" s="1">
        <v>43545</v>
      </c>
      <c r="D1280">
        <v>2019</v>
      </c>
      <c r="E1280">
        <v>3</v>
      </c>
      <c r="F1280">
        <v>0</v>
      </c>
      <c r="G1280" t="s">
        <v>9</v>
      </c>
    </row>
    <row r="1281" spans="1:7" x14ac:dyDescent="0.25">
      <c r="A1281" t="s">
        <v>7</v>
      </c>
      <c r="B1281" t="s">
        <v>10</v>
      </c>
      <c r="C1281" s="1">
        <v>43549</v>
      </c>
      <c r="D1281">
        <v>2019</v>
      </c>
      <c r="E1281">
        <v>3</v>
      </c>
      <c r="F1281">
        <v>0</v>
      </c>
      <c r="G1281" t="s">
        <v>9</v>
      </c>
    </row>
    <row r="1282" spans="1:7" x14ac:dyDescent="0.25">
      <c r="A1282" t="s">
        <v>7</v>
      </c>
      <c r="B1282" t="s">
        <v>10</v>
      </c>
      <c r="C1282" s="1">
        <v>43556</v>
      </c>
      <c r="D1282">
        <v>2019</v>
      </c>
      <c r="E1282">
        <v>4</v>
      </c>
      <c r="F1282">
        <v>0</v>
      </c>
      <c r="G1282" t="s">
        <v>9</v>
      </c>
    </row>
    <row r="1283" spans="1:7" x14ac:dyDescent="0.25">
      <c r="A1283" t="s">
        <v>7</v>
      </c>
      <c r="B1283" t="s">
        <v>10</v>
      </c>
      <c r="C1283" s="1">
        <v>43558</v>
      </c>
      <c r="D1283">
        <v>2019</v>
      </c>
      <c r="E1283">
        <v>4</v>
      </c>
      <c r="F1283">
        <v>0</v>
      </c>
      <c r="G1283" t="s">
        <v>9</v>
      </c>
    </row>
    <row r="1284" spans="1:7" x14ac:dyDescent="0.25">
      <c r="A1284" t="s">
        <v>7</v>
      </c>
      <c r="B1284" t="s">
        <v>10</v>
      </c>
      <c r="C1284" s="1">
        <v>43566</v>
      </c>
      <c r="D1284">
        <v>2019</v>
      </c>
      <c r="E1284">
        <v>4</v>
      </c>
      <c r="F1284">
        <v>5.0578594209999999</v>
      </c>
      <c r="G1284" t="s">
        <v>9</v>
      </c>
    </row>
    <row r="1285" spans="1:7" x14ac:dyDescent="0.25">
      <c r="A1285" t="s">
        <v>7</v>
      </c>
      <c r="B1285" t="s">
        <v>10</v>
      </c>
      <c r="C1285" s="1">
        <v>43567</v>
      </c>
      <c r="D1285">
        <v>2019</v>
      </c>
      <c r="E1285">
        <v>4</v>
      </c>
      <c r="F1285">
        <v>0</v>
      </c>
      <c r="G1285" t="s">
        <v>9</v>
      </c>
    </row>
    <row r="1286" spans="1:7" x14ac:dyDescent="0.25">
      <c r="A1286" t="s">
        <v>7</v>
      </c>
      <c r="B1286" t="s">
        <v>10</v>
      </c>
      <c r="C1286" s="1">
        <v>43571</v>
      </c>
      <c r="D1286">
        <v>2019</v>
      </c>
      <c r="E1286">
        <v>4</v>
      </c>
      <c r="F1286">
        <v>0</v>
      </c>
      <c r="G1286" t="s">
        <v>9</v>
      </c>
    </row>
    <row r="1287" spans="1:7" x14ac:dyDescent="0.25">
      <c r="A1287" t="s">
        <v>7</v>
      </c>
      <c r="B1287" t="s">
        <v>10</v>
      </c>
      <c r="C1287" s="1">
        <v>43572</v>
      </c>
      <c r="D1287">
        <v>2019</v>
      </c>
      <c r="E1287">
        <v>4</v>
      </c>
      <c r="F1287">
        <v>0</v>
      </c>
      <c r="G1287" t="s">
        <v>9</v>
      </c>
    </row>
    <row r="1288" spans="1:7" x14ac:dyDescent="0.25">
      <c r="A1288" t="s">
        <v>7</v>
      </c>
      <c r="B1288" t="s">
        <v>10</v>
      </c>
      <c r="C1288" s="1">
        <v>43577</v>
      </c>
      <c r="D1288">
        <v>2019</v>
      </c>
      <c r="E1288">
        <v>4</v>
      </c>
      <c r="F1288">
        <v>16.208616259999999</v>
      </c>
      <c r="G1288" t="s">
        <v>9</v>
      </c>
    </row>
    <row r="1289" spans="1:7" x14ac:dyDescent="0.25">
      <c r="A1289" t="s">
        <v>7</v>
      </c>
      <c r="B1289" t="s">
        <v>10</v>
      </c>
      <c r="C1289" s="1">
        <v>43581</v>
      </c>
      <c r="D1289">
        <v>2019</v>
      </c>
      <c r="E1289">
        <v>4</v>
      </c>
      <c r="F1289">
        <v>0</v>
      </c>
      <c r="G1289" t="s">
        <v>9</v>
      </c>
    </row>
    <row r="1290" spans="1:7" x14ac:dyDescent="0.25">
      <c r="A1290" t="s">
        <v>7</v>
      </c>
      <c r="B1290" t="s">
        <v>10</v>
      </c>
      <c r="C1290" s="1">
        <v>43583</v>
      </c>
      <c r="D1290">
        <v>2019</v>
      </c>
      <c r="E1290">
        <v>4</v>
      </c>
      <c r="F1290">
        <v>1.8094172479999999</v>
      </c>
      <c r="G1290" t="s">
        <v>9</v>
      </c>
    </row>
    <row r="1291" spans="1:7" x14ac:dyDescent="0.25">
      <c r="A1291" t="s">
        <v>7</v>
      </c>
      <c r="B1291" t="s">
        <v>10</v>
      </c>
      <c r="C1291" s="1">
        <v>43586</v>
      </c>
      <c r="D1291">
        <v>2019</v>
      </c>
      <c r="E1291">
        <v>5</v>
      </c>
      <c r="F1291">
        <v>0</v>
      </c>
      <c r="G1291" t="s">
        <v>9</v>
      </c>
    </row>
    <row r="1292" spans="1:7" x14ac:dyDescent="0.25">
      <c r="A1292" t="s">
        <v>7</v>
      </c>
      <c r="B1292" t="s">
        <v>10</v>
      </c>
      <c r="C1292" s="1">
        <v>43587</v>
      </c>
      <c r="D1292">
        <v>2019</v>
      </c>
      <c r="E1292">
        <v>5</v>
      </c>
      <c r="F1292">
        <v>0.116736598</v>
      </c>
      <c r="G1292" t="s">
        <v>9</v>
      </c>
    </row>
    <row r="1293" spans="1:7" x14ac:dyDescent="0.25">
      <c r="A1293" t="s">
        <v>7</v>
      </c>
      <c r="B1293" t="s">
        <v>10</v>
      </c>
      <c r="C1293" s="1">
        <v>43589</v>
      </c>
      <c r="D1293">
        <v>2019</v>
      </c>
      <c r="E1293">
        <v>5</v>
      </c>
      <c r="F1293">
        <v>0</v>
      </c>
      <c r="G1293" t="s">
        <v>9</v>
      </c>
    </row>
    <row r="1294" spans="1:7" x14ac:dyDescent="0.25">
      <c r="A1294" t="s">
        <v>7</v>
      </c>
      <c r="B1294" t="s">
        <v>10</v>
      </c>
      <c r="C1294" s="1">
        <v>43600</v>
      </c>
      <c r="D1294">
        <v>2019</v>
      </c>
      <c r="E1294">
        <v>5</v>
      </c>
      <c r="F1294">
        <v>0</v>
      </c>
      <c r="G1294" t="s">
        <v>9</v>
      </c>
    </row>
    <row r="1295" spans="1:7" x14ac:dyDescent="0.25">
      <c r="A1295" t="s">
        <v>7</v>
      </c>
      <c r="B1295" t="s">
        <v>10</v>
      </c>
      <c r="C1295" s="1">
        <v>43609</v>
      </c>
      <c r="D1295">
        <v>2019</v>
      </c>
      <c r="E1295">
        <v>5</v>
      </c>
      <c r="F1295">
        <v>0</v>
      </c>
      <c r="G1295" t="s">
        <v>9</v>
      </c>
    </row>
    <row r="1296" spans="1:7" x14ac:dyDescent="0.25">
      <c r="A1296" t="s">
        <v>7</v>
      </c>
      <c r="B1296" t="s">
        <v>10</v>
      </c>
      <c r="C1296" s="1">
        <v>43612</v>
      </c>
      <c r="D1296">
        <v>2019</v>
      </c>
      <c r="E1296">
        <v>5</v>
      </c>
      <c r="F1296">
        <v>0.35020980200000001</v>
      </c>
      <c r="G1296" t="s">
        <v>9</v>
      </c>
    </row>
    <row r="1297" spans="1:7" x14ac:dyDescent="0.25">
      <c r="A1297" t="s">
        <v>7</v>
      </c>
      <c r="B1297" t="s">
        <v>10</v>
      </c>
      <c r="C1297" s="1">
        <v>43615</v>
      </c>
      <c r="D1297">
        <v>2019</v>
      </c>
      <c r="E1297">
        <v>5</v>
      </c>
      <c r="F1297">
        <v>7.6356153490000001</v>
      </c>
      <c r="G1297" t="s">
        <v>9</v>
      </c>
    </row>
    <row r="1298" spans="1:7" x14ac:dyDescent="0.25">
      <c r="A1298" t="s">
        <v>7</v>
      </c>
      <c r="B1298" t="s">
        <v>10</v>
      </c>
      <c r="C1298" s="1">
        <v>43616</v>
      </c>
      <c r="D1298">
        <v>2019</v>
      </c>
      <c r="E1298">
        <v>5</v>
      </c>
      <c r="F1298">
        <v>0</v>
      </c>
      <c r="G1298" t="s">
        <v>9</v>
      </c>
    </row>
    <row r="1299" spans="1:7" x14ac:dyDescent="0.25">
      <c r="A1299" t="s">
        <v>7</v>
      </c>
      <c r="B1299" t="s">
        <v>10</v>
      </c>
      <c r="C1299" s="1">
        <v>43621</v>
      </c>
      <c r="D1299">
        <v>2019</v>
      </c>
      <c r="E1299">
        <v>6</v>
      </c>
      <c r="F1299">
        <v>0</v>
      </c>
      <c r="G1299" t="s">
        <v>9</v>
      </c>
    </row>
    <row r="1300" spans="1:7" x14ac:dyDescent="0.25">
      <c r="A1300" t="s">
        <v>7</v>
      </c>
      <c r="B1300" t="s">
        <v>10</v>
      </c>
      <c r="C1300" s="1">
        <v>43626</v>
      </c>
      <c r="D1300">
        <v>2019</v>
      </c>
      <c r="E1300">
        <v>6</v>
      </c>
      <c r="F1300">
        <v>0</v>
      </c>
      <c r="G1300" t="s">
        <v>9</v>
      </c>
    </row>
    <row r="1301" spans="1:7" x14ac:dyDescent="0.25">
      <c r="A1301" t="s">
        <v>7</v>
      </c>
      <c r="B1301" t="s">
        <v>10</v>
      </c>
      <c r="C1301" s="1">
        <v>43627</v>
      </c>
      <c r="D1301">
        <v>2019</v>
      </c>
      <c r="E1301">
        <v>6</v>
      </c>
      <c r="F1301">
        <v>0</v>
      </c>
      <c r="G1301" t="s">
        <v>9</v>
      </c>
    </row>
    <row r="1302" spans="1:7" x14ac:dyDescent="0.25">
      <c r="A1302" t="s">
        <v>7</v>
      </c>
      <c r="B1302" t="s">
        <v>10</v>
      </c>
      <c r="C1302" s="1">
        <v>43636</v>
      </c>
      <c r="D1302">
        <v>2019</v>
      </c>
      <c r="E1302">
        <v>6</v>
      </c>
      <c r="F1302">
        <v>2.7994828219999999</v>
      </c>
      <c r="G1302" t="s">
        <v>9</v>
      </c>
    </row>
    <row r="1303" spans="1:7" x14ac:dyDescent="0.25">
      <c r="A1303" t="s">
        <v>7</v>
      </c>
      <c r="B1303" t="s">
        <v>10</v>
      </c>
      <c r="C1303" s="1">
        <v>43639</v>
      </c>
      <c r="D1303">
        <v>2019</v>
      </c>
      <c r="E1303">
        <v>6</v>
      </c>
      <c r="F1303">
        <v>31.526943209999999</v>
      </c>
      <c r="G1303" t="s">
        <v>9</v>
      </c>
    </row>
    <row r="1304" spans="1:7" x14ac:dyDescent="0.25">
      <c r="A1304" t="s">
        <v>7</v>
      </c>
      <c r="B1304" t="s">
        <v>10</v>
      </c>
      <c r="C1304" s="1">
        <v>43647</v>
      </c>
      <c r="D1304">
        <v>2019</v>
      </c>
      <c r="E1304">
        <v>7</v>
      </c>
      <c r="F1304">
        <v>9.5566167830000008</v>
      </c>
      <c r="G1304" t="s">
        <v>9</v>
      </c>
    </row>
    <row r="1305" spans="1:7" x14ac:dyDescent="0.25">
      <c r="A1305" t="s">
        <v>7</v>
      </c>
      <c r="B1305" t="s">
        <v>10</v>
      </c>
      <c r="C1305" s="1">
        <v>43652</v>
      </c>
      <c r="D1305">
        <v>2019</v>
      </c>
      <c r="E1305">
        <v>7</v>
      </c>
      <c r="F1305">
        <v>6.6993508339999996</v>
      </c>
      <c r="G1305" t="s">
        <v>9</v>
      </c>
    </row>
    <row r="1306" spans="1:7" x14ac:dyDescent="0.25">
      <c r="A1306" t="s">
        <v>7</v>
      </c>
      <c r="B1306" t="s">
        <v>10</v>
      </c>
      <c r="C1306" s="1">
        <v>43656</v>
      </c>
      <c r="D1306">
        <v>2019</v>
      </c>
      <c r="E1306">
        <v>7</v>
      </c>
      <c r="F1306">
        <v>0.532004476</v>
      </c>
      <c r="G1306" t="s">
        <v>9</v>
      </c>
    </row>
    <row r="1307" spans="1:7" x14ac:dyDescent="0.25">
      <c r="A1307" t="s">
        <v>7</v>
      </c>
      <c r="B1307" t="s">
        <v>10</v>
      </c>
      <c r="C1307" s="1">
        <v>43664</v>
      </c>
      <c r="D1307">
        <v>2019</v>
      </c>
      <c r="E1307">
        <v>7</v>
      </c>
      <c r="F1307">
        <v>0.88651490200000005</v>
      </c>
      <c r="G1307" t="s">
        <v>9</v>
      </c>
    </row>
    <row r="1308" spans="1:7" x14ac:dyDescent="0.25">
      <c r="A1308" t="s">
        <v>7</v>
      </c>
      <c r="B1308" t="s">
        <v>10</v>
      </c>
      <c r="C1308" s="1">
        <v>43669</v>
      </c>
      <c r="D1308">
        <v>2019</v>
      </c>
      <c r="E1308">
        <v>7</v>
      </c>
      <c r="F1308">
        <v>0</v>
      </c>
      <c r="G1308" t="s">
        <v>9</v>
      </c>
    </row>
    <row r="1309" spans="1:7" x14ac:dyDescent="0.25">
      <c r="A1309" t="s">
        <v>7</v>
      </c>
      <c r="B1309" t="s">
        <v>10</v>
      </c>
      <c r="C1309" s="1">
        <v>43674</v>
      </c>
      <c r="D1309">
        <v>2019</v>
      </c>
      <c r="E1309">
        <v>7</v>
      </c>
      <c r="F1309">
        <v>36.681240080000002</v>
      </c>
      <c r="G1309" t="s">
        <v>9</v>
      </c>
    </row>
    <row r="1310" spans="1:7" x14ac:dyDescent="0.25">
      <c r="A1310" t="s">
        <v>7</v>
      </c>
      <c r="B1310" t="s">
        <v>10</v>
      </c>
      <c r="C1310" s="1">
        <v>43682</v>
      </c>
      <c r="D1310">
        <v>2019</v>
      </c>
      <c r="E1310">
        <v>8</v>
      </c>
      <c r="F1310">
        <v>0.35020980200000001</v>
      </c>
      <c r="G1310" t="s">
        <v>9</v>
      </c>
    </row>
    <row r="1311" spans="1:7" x14ac:dyDescent="0.25">
      <c r="A1311" t="s">
        <v>7</v>
      </c>
      <c r="B1311" t="s">
        <v>10</v>
      </c>
      <c r="C1311" s="1">
        <v>43684</v>
      </c>
      <c r="D1311">
        <v>2019</v>
      </c>
      <c r="E1311">
        <v>8</v>
      </c>
      <c r="F1311">
        <v>62.494129180000002</v>
      </c>
      <c r="G1311" t="s">
        <v>9</v>
      </c>
    </row>
    <row r="1312" spans="1:7" x14ac:dyDescent="0.25">
      <c r="A1312" t="s">
        <v>7</v>
      </c>
      <c r="B1312" t="s">
        <v>10</v>
      </c>
      <c r="C1312" s="1">
        <v>43691</v>
      </c>
      <c r="D1312">
        <v>2019</v>
      </c>
      <c r="E1312">
        <v>8</v>
      </c>
      <c r="F1312">
        <v>13.41856003</v>
      </c>
      <c r="G1312" t="s">
        <v>9</v>
      </c>
    </row>
    <row r="1313" spans="1:7" x14ac:dyDescent="0.25">
      <c r="A1313" t="s">
        <v>7</v>
      </c>
      <c r="B1313" t="s">
        <v>10</v>
      </c>
      <c r="C1313" s="1">
        <v>43698</v>
      </c>
      <c r="D1313">
        <v>2019</v>
      </c>
      <c r="E1313">
        <v>8</v>
      </c>
      <c r="F1313">
        <v>0</v>
      </c>
      <c r="G1313" t="s">
        <v>9</v>
      </c>
    </row>
    <row r="1314" spans="1:7" x14ac:dyDescent="0.25">
      <c r="A1314" t="s">
        <v>7</v>
      </c>
      <c r="B1314" t="s">
        <v>10</v>
      </c>
      <c r="C1314" s="1">
        <v>43702</v>
      </c>
      <c r="D1314">
        <v>2019</v>
      </c>
      <c r="E1314">
        <v>8</v>
      </c>
      <c r="F1314">
        <v>8.2871580120000008</v>
      </c>
      <c r="G1314" t="s">
        <v>9</v>
      </c>
    </row>
    <row r="1315" spans="1:7" x14ac:dyDescent="0.25">
      <c r="A1315" t="s">
        <v>7</v>
      </c>
      <c r="B1315" t="s">
        <v>10</v>
      </c>
      <c r="C1315" s="1">
        <v>43713</v>
      </c>
      <c r="D1315">
        <v>2019</v>
      </c>
      <c r="E1315">
        <v>9</v>
      </c>
      <c r="F1315">
        <v>8.2069664000000007</v>
      </c>
      <c r="G1315" t="s">
        <v>9</v>
      </c>
    </row>
    <row r="1316" spans="1:7" x14ac:dyDescent="0.25">
      <c r="A1316" t="s">
        <v>7</v>
      </c>
      <c r="B1316" t="s">
        <v>10</v>
      </c>
      <c r="C1316" s="1">
        <v>43718</v>
      </c>
      <c r="D1316">
        <v>2019</v>
      </c>
      <c r="E1316">
        <v>9</v>
      </c>
      <c r="F1316">
        <v>10.393147470000001</v>
      </c>
      <c r="G1316" t="s">
        <v>9</v>
      </c>
    </row>
    <row r="1317" spans="1:7" x14ac:dyDescent="0.25">
      <c r="A1317" t="s">
        <v>7</v>
      </c>
      <c r="B1317" t="s">
        <v>10</v>
      </c>
      <c r="C1317" s="1">
        <v>43719</v>
      </c>
      <c r="D1317">
        <v>2019</v>
      </c>
      <c r="E1317">
        <v>9</v>
      </c>
      <c r="F1317">
        <v>7.1233963969999996</v>
      </c>
      <c r="G1317" t="s">
        <v>9</v>
      </c>
    </row>
    <row r="1318" spans="1:7" x14ac:dyDescent="0.25">
      <c r="A1318" t="s">
        <v>7</v>
      </c>
      <c r="B1318" t="s">
        <v>10</v>
      </c>
      <c r="C1318" s="1">
        <v>43728</v>
      </c>
      <c r="D1318">
        <v>2019</v>
      </c>
      <c r="E1318">
        <v>9</v>
      </c>
      <c r="F1318">
        <v>15.07994843</v>
      </c>
      <c r="G1318" t="s">
        <v>9</v>
      </c>
    </row>
    <row r="1319" spans="1:7" x14ac:dyDescent="0.25">
      <c r="A1319" t="s">
        <v>7</v>
      </c>
      <c r="B1319" t="s">
        <v>10</v>
      </c>
      <c r="C1319" s="1">
        <v>43730</v>
      </c>
      <c r="D1319">
        <v>2019</v>
      </c>
      <c r="E1319">
        <v>9</v>
      </c>
      <c r="F1319">
        <v>0.28597289300000001</v>
      </c>
      <c r="G1319" t="s">
        <v>9</v>
      </c>
    </row>
    <row r="1320" spans="1:7" x14ac:dyDescent="0.25">
      <c r="A1320" t="s">
        <v>7</v>
      </c>
      <c r="B1320" t="s">
        <v>10</v>
      </c>
      <c r="C1320" s="1">
        <v>43734</v>
      </c>
      <c r="D1320">
        <v>2019</v>
      </c>
      <c r="E1320">
        <v>9</v>
      </c>
      <c r="F1320">
        <v>7.7768802639999999</v>
      </c>
      <c r="G1320" t="s">
        <v>9</v>
      </c>
    </row>
    <row r="1321" spans="1:7" x14ac:dyDescent="0.25">
      <c r="A1321" t="s">
        <v>7</v>
      </c>
      <c r="B1321" t="s">
        <v>10</v>
      </c>
      <c r="C1321" s="1">
        <v>43737</v>
      </c>
      <c r="D1321">
        <v>2019</v>
      </c>
      <c r="E1321">
        <v>9</v>
      </c>
      <c r="F1321">
        <v>0</v>
      </c>
      <c r="G1321" t="s">
        <v>9</v>
      </c>
    </row>
    <row r="1322" spans="1:7" x14ac:dyDescent="0.25">
      <c r="A1322" t="s">
        <v>7</v>
      </c>
      <c r="B1322" t="s">
        <v>10</v>
      </c>
      <c r="C1322" s="1">
        <v>43739</v>
      </c>
      <c r="D1322">
        <v>2019</v>
      </c>
      <c r="E1322">
        <v>10</v>
      </c>
      <c r="F1322">
        <v>1.91419673</v>
      </c>
      <c r="G1322" t="s">
        <v>9</v>
      </c>
    </row>
    <row r="1323" spans="1:7" x14ac:dyDescent="0.25">
      <c r="A1323" t="s">
        <v>7</v>
      </c>
      <c r="B1323" t="s">
        <v>10</v>
      </c>
      <c r="C1323" s="1">
        <v>43741</v>
      </c>
      <c r="D1323">
        <v>2019</v>
      </c>
      <c r="E1323">
        <v>10</v>
      </c>
      <c r="F1323">
        <v>3.1370675559999999</v>
      </c>
      <c r="G1323" t="s">
        <v>9</v>
      </c>
    </row>
    <row r="1324" spans="1:7" x14ac:dyDescent="0.25">
      <c r="A1324" t="s">
        <v>7</v>
      </c>
      <c r="B1324" t="s">
        <v>10</v>
      </c>
      <c r="C1324" s="1">
        <v>43745</v>
      </c>
      <c r="D1324">
        <v>2019</v>
      </c>
      <c r="E1324">
        <v>10</v>
      </c>
      <c r="F1324">
        <v>7.7046151160000003</v>
      </c>
      <c r="G1324" t="s">
        <v>9</v>
      </c>
    </row>
    <row r="1325" spans="1:7" x14ac:dyDescent="0.25">
      <c r="A1325" t="s">
        <v>7</v>
      </c>
      <c r="B1325" t="s">
        <v>10</v>
      </c>
      <c r="C1325" s="1">
        <v>43749</v>
      </c>
      <c r="D1325">
        <v>2019</v>
      </c>
      <c r="E1325">
        <v>10</v>
      </c>
      <c r="F1325">
        <v>2.234274149</v>
      </c>
      <c r="G1325" t="s">
        <v>9</v>
      </c>
    </row>
    <row r="1326" spans="1:7" x14ac:dyDescent="0.25">
      <c r="A1326" t="s">
        <v>7</v>
      </c>
      <c r="B1326" t="s">
        <v>10</v>
      </c>
      <c r="C1326" s="1">
        <v>43751</v>
      </c>
      <c r="D1326">
        <v>2019</v>
      </c>
      <c r="E1326">
        <v>10</v>
      </c>
      <c r="F1326">
        <v>4.9431948659999998</v>
      </c>
      <c r="G1326" t="s">
        <v>9</v>
      </c>
    </row>
    <row r="1327" spans="1:7" x14ac:dyDescent="0.25">
      <c r="A1327" t="s">
        <v>7</v>
      </c>
      <c r="B1327" t="s">
        <v>10</v>
      </c>
      <c r="C1327" s="1">
        <v>43764</v>
      </c>
      <c r="D1327">
        <v>2019</v>
      </c>
      <c r="E1327">
        <v>10</v>
      </c>
      <c r="F1327">
        <v>0</v>
      </c>
      <c r="G1327" t="s">
        <v>9</v>
      </c>
    </row>
    <row r="1328" spans="1:7" x14ac:dyDescent="0.25">
      <c r="A1328" t="s">
        <v>7</v>
      </c>
      <c r="B1328" t="s">
        <v>10</v>
      </c>
      <c r="C1328" s="1">
        <v>43767</v>
      </c>
      <c r="D1328">
        <v>2019</v>
      </c>
      <c r="E1328">
        <v>10</v>
      </c>
      <c r="F1328">
        <v>1.248456478</v>
      </c>
      <c r="G1328" t="s">
        <v>9</v>
      </c>
    </row>
    <row r="1329" spans="1:7" x14ac:dyDescent="0.25">
      <c r="A1329" t="s">
        <v>7</v>
      </c>
      <c r="B1329" t="s">
        <v>10</v>
      </c>
      <c r="C1329" s="1">
        <v>43777</v>
      </c>
      <c r="D1329">
        <v>2019</v>
      </c>
      <c r="E1329">
        <v>11</v>
      </c>
      <c r="F1329">
        <v>0</v>
      </c>
      <c r="G1329" t="s">
        <v>9</v>
      </c>
    </row>
    <row r="1330" spans="1:7" x14ac:dyDescent="0.25">
      <c r="A1330" t="s">
        <v>7</v>
      </c>
      <c r="B1330" t="s">
        <v>10</v>
      </c>
      <c r="C1330" s="1">
        <v>43783</v>
      </c>
      <c r="D1330">
        <v>2019</v>
      </c>
      <c r="E1330">
        <v>11</v>
      </c>
      <c r="F1330">
        <v>0</v>
      </c>
      <c r="G1330" t="s">
        <v>9</v>
      </c>
    </row>
    <row r="1331" spans="1:7" x14ac:dyDescent="0.25">
      <c r="A1331" t="s">
        <v>7</v>
      </c>
      <c r="B1331" t="s">
        <v>10</v>
      </c>
      <c r="C1331" s="1">
        <v>43785</v>
      </c>
      <c r="D1331">
        <v>2019</v>
      </c>
      <c r="E1331">
        <v>11</v>
      </c>
      <c r="F1331">
        <v>0</v>
      </c>
      <c r="G1331" t="s">
        <v>9</v>
      </c>
    </row>
    <row r="1332" spans="1:7" x14ac:dyDescent="0.25">
      <c r="A1332" t="s">
        <v>7</v>
      </c>
      <c r="B1332" t="s">
        <v>10</v>
      </c>
      <c r="C1332" s="1">
        <v>43786</v>
      </c>
      <c r="D1332">
        <v>2019</v>
      </c>
      <c r="E1332">
        <v>11</v>
      </c>
      <c r="F1332">
        <v>0</v>
      </c>
      <c r="G1332" t="s">
        <v>9</v>
      </c>
    </row>
    <row r="1333" spans="1:7" x14ac:dyDescent="0.25">
      <c r="A1333" t="s">
        <v>7</v>
      </c>
      <c r="B1333" t="s">
        <v>10</v>
      </c>
      <c r="C1333" s="1">
        <v>43790</v>
      </c>
      <c r="D1333">
        <v>2019</v>
      </c>
      <c r="E1333">
        <v>11</v>
      </c>
      <c r="F1333">
        <v>0</v>
      </c>
      <c r="G1333" t="s">
        <v>9</v>
      </c>
    </row>
    <row r="1334" spans="1:7" x14ac:dyDescent="0.25">
      <c r="A1334" t="s">
        <v>7</v>
      </c>
      <c r="B1334" t="s">
        <v>10</v>
      </c>
      <c r="C1334" s="1">
        <v>43793</v>
      </c>
      <c r="D1334">
        <v>2019</v>
      </c>
      <c r="E1334">
        <v>11</v>
      </c>
      <c r="F1334">
        <v>0</v>
      </c>
      <c r="G1334" t="s">
        <v>9</v>
      </c>
    </row>
    <row r="1335" spans="1:7" x14ac:dyDescent="0.25">
      <c r="A1335" t="s">
        <v>7</v>
      </c>
      <c r="B1335" t="s">
        <v>10</v>
      </c>
      <c r="C1335" s="1">
        <v>43798</v>
      </c>
      <c r="D1335">
        <v>2019</v>
      </c>
      <c r="E1335">
        <v>11</v>
      </c>
      <c r="F1335">
        <v>0</v>
      </c>
      <c r="G1335" t="s">
        <v>9</v>
      </c>
    </row>
    <row r="1336" spans="1:7" x14ac:dyDescent="0.25">
      <c r="A1336" t="s">
        <v>7</v>
      </c>
      <c r="B1336" t="s">
        <v>10</v>
      </c>
      <c r="C1336" s="1">
        <v>43807</v>
      </c>
      <c r="D1336">
        <v>2019</v>
      </c>
      <c r="E1336">
        <v>12</v>
      </c>
      <c r="F1336">
        <v>0</v>
      </c>
      <c r="G1336" t="s">
        <v>9</v>
      </c>
    </row>
    <row r="1337" spans="1:7" x14ac:dyDescent="0.25">
      <c r="A1337" t="s">
        <v>7</v>
      </c>
      <c r="B1337" t="s">
        <v>11</v>
      </c>
      <c r="C1337" s="1">
        <v>43473</v>
      </c>
      <c r="D1337">
        <v>2019</v>
      </c>
      <c r="E1337">
        <v>1</v>
      </c>
      <c r="F1337">
        <v>0</v>
      </c>
      <c r="G1337" t="s">
        <v>9</v>
      </c>
    </row>
    <row r="1338" spans="1:7" x14ac:dyDescent="0.25">
      <c r="A1338" t="s">
        <v>7</v>
      </c>
      <c r="B1338" t="s">
        <v>11</v>
      </c>
      <c r="C1338" s="1">
        <v>43485</v>
      </c>
      <c r="D1338">
        <v>2019</v>
      </c>
      <c r="E1338">
        <v>1</v>
      </c>
      <c r="F1338">
        <v>0</v>
      </c>
      <c r="G1338" t="s">
        <v>9</v>
      </c>
    </row>
    <row r="1339" spans="1:7" x14ac:dyDescent="0.25">
      <c r="A1339" t="s">
        <v>7</v>
      </c>
      <c r="B1339" t="s">
        <v>11</v>
      </c>
      <c r="C1339" s="1">
        <v>43487</v>
      </c>
      <c r="D1339">
        <v>2019</v>
      </c>
      <c r="E1339">
        <v>1</v>
      </c>
      <c r="F1339">
        <v>0</v>
      </c>
      <c r="G1339" t="s">
        <v>9</v>
      </c>
    </row>
    <row r="1340" spans="1:7" x14ac:dyDescent="0.25">
      <c r="A1340" t="s">
        <v>7</v>
      </c>
      <c r="B1340" t="s">
        <v>11</v>
      </c>
      <c r="C1340" s="1">
        <v>43493</v>
      </c>
      <c r="D1340">
        <v>2019</v>
      </c>
      <c r="E1340">
        <v>1</v>
      </c>
      <c r="F1340">
        <v>0</v>
      </c>
      <c r="G1340" t="s">
        <v>9</v>
      </c>
    </row>
    <row r="1341" spans="1:7" x14ac:dyDescent="0.25">
      <c r="A1341" t="s">
        <v>7</v>
      </c>
      <c r="B1341" t="s">
        <v>11</v>
      </c>
      <c r="C1341" s="1">
        <v>43494</v>
      </c>
      <c r="D1341">
        <v>2019</v>
      </c>
      <c r="E1341">
        <v>1</v>
      </c>
      <c r="F1341">
        <v>0</v>
      </c>
      <c r="G1341" t="s">
        <v>9</v>
      </c>
    </row>
    <row r="1342" spans="1:7" x14ac:dyDescent="0.25">
      <c r="A1342" t="s">
        <v>7</v>
      </c>
      <c r="B1342" t="s">
        <v>11</v>
      </c>
      <c r="C1342" s="1">
        <v>43495</v>
      </c>
      <c r="D1342">
        <v>2019</v>
      </c>
      <c r="E1342">
        <v>1</v>
      </c>
      <c r="F1342">
        <v>0</v>
      </c>
      <c r="G1342" t="s">
        <v>9</v>
      </c>
    </row>
    <row r="1343" spans="1:7" x14ac:dyDescent="0.25">
      <c r="A1343" t="s">
        <v>7</v>
      </c>
      <c r="B1343" t="s">
        <v>11</v>
      </c>
      <c r="C1343" s="1">
        <v>43499</v>
      </c>
      <c r="D1343">
        <v>2019</v>
      </c>
      <c r="E1343">
        <v>2</v>
      </c>
      <c r="F1343">
        <v>0</v>
      </c>
      <c r="G1343" t="s">
        <v>9</v>
      </c>
    </row>
    <row r="1344" spans="1:7" x14ac:dyDescent="0.25">
      <c r="A1344" t="s">
        <v>7</v>
      </c>
      <c r="B1344" t="s">
        <v>11</v>
      </c>
      <c r="C1344" s="1">
        <v>43500</v>
      </c>
      <c r="D1344">
        <v>2019</v>
      </c>
      <c r="E1344">
        <v>2</v>
      </c>
      <c r="F1344">
        <v>0</v>
      </c>
      <c r="G1344" t="s">
        <v>9</v>
      </c>
    </row>
    <row r="1345" spans="1:7" x14ac:dyDescent="0.25">
      <c r="A1345" t="s">
        <v>7</v>
      </c>
      <c r="B1345" t="s">
        <v>11</v>
      </c>
      <c r="C1345" s="1">
        <v>43512</v>
      </c>
      <c r="D1345">
        <v>2019</v>
      </c>
      <c r="E1345">
        <v>2</v>
      </c>
      <c r="F1345">
        <v>0</v>
      </c>
      <c r="G1345" t="s">
        <v>9</v>
      </c>
    </row>
    <row r="1346" spans="1:7" x14ac:dyDescent="0.25">
      <c r="A1346" t="s">
        <v>7</v>
      </c>
      <c r="B1346" t="s">
        <v>11</v>
      </c>
      <c r="C1346" s="1">
        <v>43518</v>
      </c>
      <c r="D1346">
        <v>2019</v>
      </c>
      <c r="E1346">
        <v>2</v>
      </c>
      <c r="F1346">
        <v>0</v>
      </c>
      <c r="G1346" t="s">
        <v>9</v>
      </c>
    </row>
    <row r="1347" spans="1:7" x14ac:dyDescent="0.25">
      <c r="A1347" t="s">
        <v>7</v>
      </c>
      <c r="B1347" t="s">
        <v>11</v>
      </c>
      <c r="C1347" s="1">
        <v>43524</v>
      </c>
      <c r="D1347">
        <v>2019</v>
      </c>
      <c r="E1347">
        <v>2</v>
      </c>
      <c r="F1347">
        <v>0</v>
      </c>
      <c r="G1347" t="s">
        <v>9</v>
      </c>
    </row>
    <row r="1348" spans="1:7" x14ac:dyDescent="0.25">
      <c r="A1348" t="s">
        <v>7</v>
      </c>
      <c r="B1348" t="s">
        <v>11</v>
      </c>
      <c r="C1348" s="1">
        <v>43529</v>
      </c>
      <c r="D1348">
        <v>2019</v>
      </c>
      <c r="E1348">
        <v>3</v>
      </c>
      <c r="F1348">
        <v>0</v>
      </c>
      <c r="G1348" t="s">
        <v>9</v>
      </c>
    </row>
    <row r="1349" spans="1:7" x14ac:dyDescent="0.25">
      <c r="A1349" t="s">
        <v>7</v>
      </c>
      <c r="B1349" t="s">
        <v>11</v>
      </c>
      <c r="C1349" s="1">
        <v>43531</v>
      </c>
      <c r="D1349">
        <v>2019</v>
      </c>
      <c r="E1349">
        <v>3</v>
      </c>
      <c r="F1349">
        <v>0</v>
      </c>
      <c r="G1349" t="s">
        <v>9</v>
      </c>
    </row>
    <row r="1350" spans="1:7" x14ac:dyDescent="0.25">
      <c r="A1350" t="s">
        <v>7</v>
      </c>
      <c r="B1350" t="s">
        <v>11</v>
      </c>
      <c r="C1350" s="1">
        <v>43533</v>
      </c>
      <c r="D1350">
        <v>2019</v>
      </c>
      <c r="E1350">
        <v>3</v>
      </c>
      <c r="F1350">
        <v>0.59229350300000005</v>
      </c>
      <c r="G1350" t="s">
        <v>9</v>
      </c>
    </row>
    <row r="1351" spans="1:7" x14ac:dyDescent="0.25">
      <c r="A1351" t="s">
        <v>7</v>
      </c>
      <c r="B1351" t="s">
        <v>11</v>
      </c>
      <c r="C1351" s="1">
        <v>43543</v>
      </c>
      <c r="D1351">
        <v>2019</v>
      </c>
      <c r="E1351">
        <v>3</v>
      </c>
      <c r="F1351">
        <v>0</v>
      </c>
      <c r="G1351" t="s">
        <v>9</v>
      </c>
    </row>
    <row r="1352" spans="1:7" x14ac:dyDescent="0.25">
      <c r="A1352" t="s">
        <v>7</v>
      </c>
      <c r="B1352" t="s">
        <v>11</v>
      </c>
      <c r="C1352" s="1">
        <v>43551</v>
      </c>
      <c r="D1352">
        <v>2019</v>
      </c>
      <c r="E1352">
        <v>3</v>
      </c>
      <c r="F1352">
        <v>0</v>
      </c>
      <c r="G1352" t="s">
        <v>9</v>
      </c>
    </row>
    <row r="1353" spans="1:7" x14ac:dyDescent="0.25">
      <c r="A1353" t="s">
        <v>7</v>
      </c>
      <c r="B1353" t="s">
        <v>11</v>
      </c>
      <c r="C1353" s="1">
        <v>43555</v>
      </c>
      <c r="D1353">
        <v>2019</v>
      </c>
      <c r="E1353">
        <v>3</v>
      </c>
      <c r="F1353">
        <v>0</v>
      </c>
      <c r="G1353" t="s">
        <v>9</v>
      </c>
    </row>
    <row r="1354" spans="1:7" x14ac:dyDescent="0.25">
      <c r="A1354" t="s">
        <v>7</v>
      </c>
      <c r="B1354" t="s">
        <v>11</v>
      </c>
      <c r="C1354" s="1">
        <v>43556</v>
      </c>
      <c r="D1354">
        <v>2019</v>
      </c>
      <c r="E1354">
        <v>4</v>
      </c>
      <c r="F1354">
        <v>0</v>
      </c>
      <c r="G1354" t="s">
        <v>9</v>
      </c>
    </row>
    <row r="1355" spans="1:7" x14ac:dyDescent="0.25">
      <c r="A1355" t="s">
        <v>7</v>
      </c>
      <c r="B1355" t="s">
        <v>11</v>
      </c>
      <c r="C1355" s="1">
        <v>43557</v>
      </c>
      <c r="D1355">
        <v>2019</v>
      </c>
      <c r="E1355">
        <v>4</v>
      </c>
      <c r="F1355">
        <v>0</v>
      </c>
      <c r="G1355" t="s">
        <v>9</v>
      </c>
    </row>
    <row r="1356" spans="1:7" x14ac:dyDescent="0.25">
      <c r="A1356" t="s">
        <v>7</v>
      </c>
      <c r="B1356" t="s">
        <v>11</v>
      </c>
      <c r="C1356" s="1">
        <v>43558</v>
      </c>
      <c r="D1356">
        <v>2019</v>
      </c>
      <c r="E1356">
        <v>4</v>
      </c>
      <c r="F1356">
        <v>0</v>
      </c>
      <c r="G1356" t="s">
        <v>9</v>
      </c>
    </row>
    <row r="1357" spans="1:7" x14ac:dyDescent="0.25">
      <c r="A1357" t="s">
        <v>7</v>
      </c>
      <c r="B1357" t="s">
        <v>11</v>
      </c>
      <c r="C1357" s="1">
        <v>43562</v>
      </c>
      <c r="D1357">
        <v>2019</v>
      </c>
      <c r="E1357">
        <v>4</v>
      </c>
      <c r="F1357">
        <v>0</v>
      </c>
      <c r="G1357" t="s">
        <v>9</v>
      </c>
    </row>
    <row r="1358" spans="1:7" x14ac:dyDescent="0.25">
      <c r="A1358" t="s">
        <v>7</v>
      </c>
      <c r="B1358" t="s">
        <v>11</v>
      </c>
      <c r="C1358" s="1">
        <v>43564</v>
      </c>
      <c r="D1358">
        <v>2019</v>
      </c>
      <c r="E1358">
        <v>4</v>
      </c>
      <c r="F1358">
        <v>0</v>
      </c>
      <c r="G1358" t="s">
        <v>9</v>
      </c>
    </row>
    <row r="1359" spans="1:7" x14ac:dyDescent="0.25">
      <c r="A1359" t="s">
        <v>7</v>
      </c>
      <c r="B1359" t="s">
        <v>11</v>
      </c>
      <c r="C1359" s="1">
        <v>43581</v>
      </c>
      <c r="D1359">
        <v>2019</v>
      </c>
      <c r="E1359">
        <v>4</v>
      </c>
      <c r="F1359">
        <v>0</v>
      </c>
      <c r="G1359" t="s">
        <v>9</v>
      </c>
    </row>
    <row r="1360" spans="1:7" x14ac:dyDescent="0.25">
      <c r="A1360" t="s">
        <v>7</v>
      </c>
      <c r="B1360" t="s">
        <v>11</v>
      </c>
      <c r="C1360" s="1">
        <v>43583</v>
      </c>
      <c r="D1360">
        <v>2019</v>
      </c>
      <c r="E1360">
        <v>4</v>
      </c>
      <c r="F1360">
        <v>0</v>
      </c>
      <c r="G1360" t="s">
        <v>9</v>
      </c>
    </row>
    <row r="1361" spans="1:7" x14ac:dyDescent="0.25">
      <c r="A1361" t="s">
        <v>7</v>
      </c>
      <c r="B1361" t="s">
        <v>11</v>
      </c>
      <c r="C1361" s="1">
        <v>43588</v>
      </c>
      <c r="D1361">
        <v>2019</v>
      </c>
      <c r="E1361">
        <v>5</v>
      </c>
      <c r="F1361">
        <v>0</v>
      </c>
      <c r="G1361" t="s">
        <v>9</v>
      </c>
    </row>
    <row r="1362" spans="1:7" x14ac:dyDescent="0.25">
      <c r="A1362" t="s">
        <v>7</v>
      </c>
      <c r="B1362" t="s">
        <v>11</v>
      </c>
      <c r="C1362" s="1">
        <v>43589</v>
      </c>
      <c r="D1362">
        <v>2019</v>
      </c>
      <c r="E1362">
        <v>5</v>
      </c>
      <c r="F1362">
        <v>0</v>
      </c>
      <c r="G1362" t="s">
        <v>9</v>
      </c>
    </row>
    <row r="1363" spans="1:7" x14ac:dyDescent="0.25">
      <c r="A1363" t="s">
        <v>7</v>
      </c>
      <c r="B1363" t="s">
        <v>11</v>
      </c>
      <c r="C1363" s="1">
        <v>43594</v>
      </c>
      <c r="D1363">
        <v>2019</v>
      </c>
      <c r="E1363">
        <v>5</v>
      </c>
      <c r="F1363">
        <v>0</v>
      </c>
      <c r="G1363" t="s">
        <v>9</v>
      </c>
    </row>
    <row r="1364" spans="1:7" x14ac:dyDescent="0.25">
      <c r="A1364" t="s">
        <v>7</v>
      </c>
      <c r="B1364" t="s">
        <v>11</v>
      </c>
      <c r="C1364" s="1">
        <v>43596</v>
      </c>
      <c r="D1364">
        <v>2019</v>
      </c>
      <c r="E1364">
        <v>5</v>
      </c>
      <c r="F1364">
        <v>0</v>
      </c>
      <c r="G1364" t="s">
        <v>9</v>
      </c>
    </row>
    <row r="1365" spans="1:7" x14ac:dyDescent="0.25">
      <c r="A1365" t="s">
        <v>7</v>
      </c>
      <c r="B1365" t="s">
        <v>11</v>
      </c>
      <c r="C1365" s="1">
        <v>43602</v>
      </c>
      <c r="D1365">
        <v>2019</v>
      </c>
      <c r="E1365">
        <v>5</v>
      </c>
      <c r="F1365">
        <v>0</v>
      </c>
      <c r="G1365" t="s">
        <v>9</v>
      </c>
    </row>
    <row r="1366" spans="1:7" x14ac:dyDescent="0.25">
      <c r="A1366" t="s">
        <v>7</v>
      </c>
      <c r="B1366" t="s">
        <v>11</v>
      </c>
      <c r="C1366" s="1">
        <v>43614</v>
      </c>
      <c r="D1366">
        <v>2019</v>
      </c>
      <c r="E1366">
        <v>5</v>
      </c>
      <c r="F1366">
        <v>0</v>
      </c>
      <c r="G1366" t="s">
        <v>9</v>
      </c>
    </row>
    <row r="1367" spans="1:7" x14ac:dyDescent="0.25">
      <c r="A1367" t="s">
        <v>7</v>
      </c>
      <c r="B1367" t="s">
        <v>11</v>
      </c>
      <c r="C1367" s="1">
        <v>43615</v>
      </c>
      <c r="D1367">
        <v>2019</v>
      </c>
      <c r="E1367">
        <v>5</v>
      </c>
      <c r="F1367">
        <v>0</v>
      </c>
      <c r="G1367" t="s">
        <v>9</v>
      </c>
    </row>
    <row r="1368" spans="1:7" x14ac:dyDescent="0.25">
      <c r="A1368" t="s">
        <v>7</v>
      </c>
      <c r="B1368" t="s">
        <v>11</v>
      </c>
      <c r="C1368" s="1">
        <v>43617</v>
      </c>
      <c r="D1368">
        <v>2019</v>
      </c>
      <c r="E1368">
        <v>6</v>
      </c>
      <c r="F1368">
        <v>0</v>
      </c>
      <c r="G1368" t="s">
        <v>9</v>
      </c>
    </row>
    <row r="1369" spans="1:7" x14ac:dyDescent="0.25">
      <c r="A1369" t="s">
        <v>7</v>
      </c>
      <c r="B1369" t="s">
        <v>11</v>
      </c>
      <c r="C1369" s="1">
        <v>43620</v>
      </c>
      <c r="D1369">
        <v>2019</v>
      </c>
      <c r="E1369">
        <v>6</v>
      </c>
      <c r="F1369">
        <v>0</v>
      </c>
      <c r="G1369" t="s">
        <v>9</v>
      </c>
    </row>
    <row r="1370" spans="1:7" x14ac:dyDescent="0.25">
      <c r="A1370" t="s">
        <v>7</v>
      </c>
      <c r="B1370" t="s">
        <v>11</v>
      </c>
      <c r="C1370" s="1">
        <v>43625</v>
      </c>
      <c r="D1370">
        <v>2019</v>
      </c>
      <c r="E1370">
        <v>6</v>
      </c>
      <c r="F1370">
        <v>0</v>
      </c>
      <c r="G1370" t="s">
        <v>9</v>
      </c>
    </row>
    <row r="1371" spans="1:7" x14ac:dyDescent="0.25">
      <c r="A1371" t="s">
        <v>7</v>
      </c>
      <c r="B1371" t="s">
        <v>11</v>
      </c>
      <c r="C1371" s="1">
        <v>43626</v>
      </c>
      <c r="D1371">
        <v>2019</v>
      </c>
      <c r="E1371">
        <v>6</v>
      </c>
      <c r="F1371">
        <v>0</v>
      </c>
      <c r="G1371" t="s">
        <v>9</v>
      </c>
    </row>
    <row r="1372" spans="1:7" x14ac:dyDescent="0.25">
      <c r="A1372" t="s">
        <v>7</v>
      </c>
      <c r="B1372" t="s">
        <v>11</v>
      </c>
      <c r="C1372" s="1">
        <v>43636</v>
      </c>
      <c r="D1372">
        <v>2019</v>
      </c>
      <c r="E1372">
        <v>6</v>
      </c>
      <c r="F1372">
        <v>0</v>
      </c>
      <c r="G1372" t="s">
        <v>9</v>
      </c>
    </row>
    <row r="1373" spans="1:7" x14ac:dyDescent="0.25">
      <c r="A1373" t="s">
        <v>7</v>
      </c>
      <c r="B1373" t="s">
        <v>11</v>
      </c>
      <c r="C1373" s="1">
        <v>43637</v>
      </c>
      <c r="D1373">
        <v>2019</v>
      </c>
      <c r="E1373">
        <v>6</v>
      </c>
      <c r="F1373">
        <v>0</v>
      </c>
      <c r="G1373" t="s">
        <v>9</v>
      </c>
    </row>
    <row r="1374" spans="1:7" x14ac:dyDescent="0.25">
      <c r="A1374" t="s">
        <v>7</v>
      </c>
      <c r="B1374" t="s">
        <v>11</v>
      </c>
      <c r="C1374" s="1">
        <v>43654</v>
      </c>
      <c r="D1374">
        <v>2019</v>
      </c>
      <c r="E1374">
        <v>7</v>
      </c>
      <c r="F1374">
        <v>0</v>
      </c>
      <c r="G1374" t="s">
        <v>9</v>
      </c>
    </row>
    <row r="1375" spans="1:7" x14ac:dyDescent="0.25">
      <c r="A1375" t="s">
        <v>7</v>
      </c>
      <c r="B1375" t="s">
        <v>11</v>
      </c>
      <c r="C1375" s="1">
        <v>43655</v>
      </c>
      <c r="D1375">
        <v>2019</v>
      </c>
      <c r="E1375">
        <v>7</v>
      </c>
      <c r="F1375">
        <v>0</v>
      </c>
      <c r="G1375" t="s">
        <v>9</v>
      </c>
    </row>
    <row r="1376" spans="1:7" x14ac:dyDescent="0.25">
      <c r="A1376" t="s">
        <v>7</v>
      </c>
      <c r="B1376" t="s">
        <v>11</v>
      </c>
      <c r="C1376" s="1">
        <v>43657</v>
      </c>
      <c r="D1376">
        <v>2019</v>
      </c>
      <c r="E1376">
        <v>7</v>
      </c>
      <c r="F1376">
        <v>0.236112393</v>
      </c>
      <c r="G1376" t="s">
        <v>9</v>
      </c>
    </row>
    <row r="1377" spans="1:7" x14ac:dyDescent="0.25">
      <c r="A1377" t="s">
        <v>7</v>
      </c>
      <c r="B1377" t="s">
        <v>11</v>
      </c>
      <c r="C1377" s="1">
        <v>43663</v>
      </c>
      <c r="D1377">
        <v>2019</v>
      </c>
      <c r="E1377">
        <v>7</v>
      </c>
      <c r="F1377">
        <v>0</v>
      </c>
      <c r="G1377" t="s">
        <v>9</v>
      </c>
    </row>
    <row r="1378" spans="1:7" x14ac:dyDescent="0.25">
      <c r="A1378" t="s">
        <v>7</v>
      </c>
      <c r="B1378" t="s">
        <v>11</v>
      </c>
      <c r="C1378" s="1">
        <v>43664</v>
      </c>
      <c r="D1378">
        <v>2019</v>
      </c>
      <c r="E1378">
        <v>7</v>
      </c>
      <c r="F1378">
        <v>0.22177238699999999</v>
      </c>
      <c r="G1378" t="s">
        <v>9</v>
      </c>
    </row>
    <row r="1379" spans="1:7" x14ac:dyDescent="0.25">
      <c r="A1379" t="s">
        <v>7</v>
      </c>
      <c r="B1379" t="s">
        <v>11</v>
      </c>
      <c r="C1379" s="1">
        <v>43671</v>
      </c>
      <c r="D1379">
        <v>2019</v>
      </c>
      <c r="E1379">
        <v>7</v>
      </c>
      <c r="F1379">
        <v>0</v>
      </c>
      <c r="G1379" t="s">
        <v>9</v>
      </c>
    </row>
    <row r="1380" spans="1:7" x14ac:dyDescent="0.25">
      <c r="A1380" t="s">
        <v>7</v>
      </c>
      <c r="B1380" t="s">
        <v>11</v>
      </c>
      <c r="C1380" s="1">
        <v>43680</v>
      </c>
      <c r="D1380">
        <v>2019</v>
      </c>
      <c r="E1380">
        <v>8</v>
      </c>
      <c r="F1380">
        <v>0</v>
      </c>
      <c r="G1380" t="s">
        <v>9</v>
      </c>
    </row>
    <row r="1381" spans="1:7" x14ac:dyDescent="0.25">
      <c r="A1381" t="s">
        <v>7</v>
      </c>
      <c r="B1381" t="s">
        <v>11</v>
      </c>
      <c r="C1381" s="1">
        <v>43681</v>
      </c>
      <c r="D1381">
        <v>2019</v>
      </c>
      <c r="E1381">
        <v>8</v>
      </c>
      <c r="F1381">
        <v>0</v>
      </c>
      <c r="G1381" t="s">
        <v>9</v>
      </c>
    </row>
    <row r="1382" spans="1:7" x14ac:dyDescent="0.25">
      <c r="A1382" t="s">
        <v>7</v>
      </c>
      <c r="B1382" t="s">
        <v>11</v>
      </c>
      <c r="C1382" s="1">
        <v>43688</v>
      </c>
      <c r="D1382">
        <v>2019</v>
      </c>
      <c r="E1382">
        <v>8</v>
      </c>
      <c r="F1382">
        <v>0</v>
      </c>
      <c r="G1382" t="s">
        <v>9</v>
      </c>
    </row>
    <row r="1383" spans="1:7" x14ac:dyDescent="0.25">
      <c r="A1383" t="s">
        <v>7</v>
      </c>
      <c r="B1383" t="s">
        <v>11</v>
      </c>
      <c r="C1383" s="1">
        <v>43696</v>
      </c>
      <c r="D1383">
        <v>2019</v>
      </c>
      <c r="E1383">
        <v>8</v>
      </c>
      <c r="F1383">
        <v>0.87366924800000001</v>
      </c>
      <c r="G1383" t="s">
        <v>9</v>
      </c>
    </row>
    <row r="1384" spans="1:7" x14ac:dyDescent="0.25">
      <c r="A1384" t="s">
        <v>7</v>
      </c>
      <c r="B1384" t="s">
        <v>11</v>
      </c>
      <c r="C1384" s="1">
        <v>43707</v>
      </c>
      <c r="D1384">
        <v>2019</v>
      </c>
      <c r="E1384">
        <v>8</v>
      </c>
      <c r="F1384">
        <v>3.4623515130000002</v>
      </c>
      <c r="G1384" t="s">
        <v>9</v>
      </c>
    </row>
    <row r="1385" spans="1:7" x14ac:dyDescent="0.25">
      <c r="A1385" t="s">
        <v>7</v>
      </c>
      <c r="B1385" t="s">
        <v>11</v>
      </c>
      <c r="C1385" s="1">
        <v>43708</v>
      </c>
      <c r="D1385">
        <v>2019</v>
      </c>
      <c r="E1385">
        <v>8</v>
      </c>
      <c r="F1385">
        <v>0</v>
      </c>
      <c r="G1385" t="s">
        <v>9</v>
      </c>
    </row>
    <row r="1386" spans="1:7" x14ac:dyDescent="0.25">
      <c r="A1386" t="s">
        <v>7</v>
      </c>
      <c r="B1386" t="s">
        <v>11</v>
      </c>
      <c r="C1386" s="1">
        <v>43706</v>
      </c>
      <c r="D1386">
        <v>2019</v>
      </c>
      <c r="E1386">
        <v>8</v>
      </c>
      <c r="F1386">
        <v>0</v>
      </c>
      <c r="G1386" t="s">
        <v>9</v>
      </c>
    </row>
    <row r="1387" spans="1:7" x14ac:dyDescent="0.25">
      <c r="A1387" t="s">
        <v>7</v>
      </c>
      <c r="B1387" t="s">
        <v>11</v>
      </c>
      <c r="C1387" s="1">
        <v>43709</v>
      </c>
      <c r="D1387">
        <v>2019</v>
      </c>
      <c r="E1387">
        <v>9</v>
      </c>
      <c r="F1387">
        <v>0</v>
      </c>
      <c r="G1387" t="s">
        <v>9</v>
      </c>
    </row>
    <row r="1388" spans="1:7" x14ac:dyDescent="0.25">
      <c r="A1388" t="s">
        <v>7</v>
      </c>
      <c r="B1388" t="s">
        <v>11</v>
      </c>
      <c r="C1388" s="1">
        <v>43722</v>
      </c>
      <c r="D1388">
        <v>2019</v>
      </c>
      <c r="E1388">
        <v>9</v>
      </c>
      <c r="F1388">
        <v>20.39150875</v>
      </c>
      <c r="G1388" t="s">
        <v>9</v>
      </c>
    </row>
    <row r="1389" spans="1:7" x14ac:dyDescent="0.25">
      <c r="A1389" t="s">
        <v>7</v>
      </c>
      <c r="B1389" t="s">
        <v>11</v>
      </c>
      <c r="C1389" s="1">
        <v>43724</v>
      </c>
      <c r="D1389">
        <v>2019</v>
      </c>
      <c r="E1389">
        <v>9</v>
      </c>
      <c r="F1389">
        <v>5.405868967</v>
      </c>
      <c r="G1389" t="s">
        <v>9</v>
      </c>
    </row>
    <row r="1390" spans="1:7" x14ac:dyDescent="0.25">
      <c r="A1390" t="s">
        <v>7</v>
      </c>
      <c r="B1390" t="s">
        <v>11</v>
      </c>
      <c r="C1390" s="1">
        <v>43727</v>
      </c>
      <c r="D1390">
        <v>2019</v>
      </c>
      <c r="E1390">
        <v>9</v>
      </c>
      <c r="F1390">
        <v>2.7000474999999999E-2</v>
      </c>
      <c r="G1390" t="s">
        <v>9</v>
      </c>
    </row>
    <row r="1391" spans="1:7" x14ac:dyDescent="0.25">
      <c r="A1391" t="s">
        <v>7</v>
      </c>
      <c r="B1391" t="s">
        <v>11</v>
      </c>
      <c r="C1391" s="1">
        <v>43732</v>
      </c>
      <c r="D1391">
        <v>2019</v>
      </c>
      <c r="E1391">
        <v>9</v>
      </c>
      <c r="F1391">
        <v>0.86894263100000002</v>
      </c>
      <c r="G1391" t="s">
        <v>9</v>
      </c>
    </row>
    <row r="1392" spans="1:7" x14ac:dyDescent="0.25">
      <c r="A1392" t="s">
        <v>7</v>
      </c>
      <c r="B1392" t="s">
        <v>11</v>
      </c>
      <c r="C1392" s="1">
        <v>43734</v>
      </c>
      <c r="D1392">
        <v>2019</v>
      </c>
      <c r="E1392">
        <v>9</v>
      </c>
      <c r="F1392">
        <v>25.531022060000002</v>
      </c>
      <c r="G1392" t="s">
        <v>9</v>
      </c>
    </row>
    <row r="1393" spans="1:7" x14ac:dyDescent="0.25">
      <c r="A1393" t="s">
        <v>7</v>
      </c>
      <c r="B1393" t="s">
        <v>11</v>
      </c>
      <c r="C1393" s="1">
        <v>43737</v>
      </c>
      <c r="D1393">
        <v>2019</v>
      </c>
      <c r="E1393">
        <v>9</v>
      </c>
      <c r="F1393">
        <v>0</v>
      </c>
      <c r="G1393" t="s">
        <v>9</v>
      </c>
    </row>
    <row r="1394" spans="1:7" x14ac:dyDescent="0.25">
      <c r="A1394" t="s">
        <v>7</v>
      </c>
      <c r="B1394" t="s">
        <v>11</v>
      </c>
      <c r="C1394" s="1">
        <v>43742</v>
      </c>
      <c r="D1394">
        <v>2019</v>
      </c>
      <c r="E1394">
        <v>10</v>
      </c>
      <c r="F1394">
        <v>0</v>
      </c>
      <c r="G1394" t="s">
        <v>9</v>
      </c>
    </row>
    <row r="1395" spans="1:7" x14ac:dyDescent="0.25">
      <c r="A1395" t="s">
        <v>7</v>
      </c>
      <c r="B1395" t="s">
        <v>11</v>
      </c>
      <c r="C1395" s="1">
        <v>43743</v>
      </c>
      <c r="D1395">
        <v>2019</v>
      </c>
      <c r="E1395">
        <v>10</v>
      </c>
      <c r="F1395">
        <v>0</v>
      </c>
      <c r="G1395" t="s">
        <v>9</v>
      </c>
    </row>
    <row r="1396" spans="1:7" x14ac:dyDescent="0.25">
      <c r="A1396" t="s">
        <v>7</v>
      </c>
      <c r="B1396" t="s">
        <v>11</v>
      </c>
      <c r="C1396" s="1">
        <v>43745</v>
      </c>
      <c r="D1396">
        <v>2019</v>
      </c>
      <c r="E1396">
        <v>10</v>
      </c>
      <c r="F1396">
        <v>1.4000245999999999E-2</v>
      </c>
      <c r="G1396" t="s">
        <v>9</v>
      </c>
    </row>
    <row r="1397" spans="1:7" x14ac:dyDescent="0.25">
      <c r="A1397" t="s">
        <v>7</v>
      </c>
      <c r="B1397" t="s">
        <v>11</v>
      </c>
      <c r="C1397" s="1">
        <v>43747</v>
      </c>
      <c r="D1397">
        <v>2019</v>
      </c>
      <c r="E1397">
        <v>10</v>
      </c>
      <c r="F1397">
        <v>0</v>
      </c>
      <c r="G1397" t="s">
        <v>9</v>
      </c>
    </row>
    <row r="1398" spans="1:7" x14ac:dyDescent="0.25">
      <c r="A1398" t="s">
        <v>7</v>
      </c>
      <c r="B1398" t="s">
        <v>11</v>
      </c>
      <c r="C1398" s="1">
        <v>43748</v>
      </c>
      <c r="D1398">
        <v>2019</v>
      </c>
      <c r="E1398">
        <v>10</v>
      </c>
      <c r="F1398">
        <v>0</v>
      </c>
      <c r="G1398" t="s">
        <v>9</v>
      </c>
    </row>
    <row r="1399" spans="1:7" x14ac:dyDescent="0.25">
      <c r="A1399" t="s">
        <v>7</v>
      </c>
      <c r="B1399" t="s">
        <v>11</v>
      </c>
      <c r="C1399" s="1">
        <v>43756</v>
      </c>
      <c r="D1399">
        <v>2019</v>
      </c>
      <c r="E1399">
        <v>10</v>
      </c>
      <c r="F1399">
        <v>6.5101001170000004</v>
      </c>
      <c r="G1399" t="s">
        <v>9</v>
      </c>
    </row>
    <row r="1400" spans="1:7" x14ac:dyDescent="0.25">
      <c r="A1400" t="s">
        <v>7</v>
      </c>
      <c r="B1400" t="s">
        <v>11</v>
      </c>
      <c r="C1400" s="1">
        <v>43757</v>
      </c>
      <c r="D1400">
        <v>2019</v>
      </c>
      <c r="E1400">
        <v>10</v>
      </c>
      <c r="F1400">
        <v>0.50924885099999995</v>
      </c>
      <c r="G1400" t="s">
        <v>9</v>
      </c>
    </row>
    <row r="1401" spans="1:7" x14ac:dyDescent="0.25">
      <c r="A1401" t="s">
        <v>7</v>
      </c>
      <c r="B1401" t="s">
        <v>11</v>
      </c>
      <c r="C1401" s="1">
        <v>43763</v>
      </c>
      <c r="D1401">
        <v>2019</v>
      </c>
      <c r="E1401">
        <v>10</v>
      </c>
      <c r="F1401">
        <v>1.1467514E-2</v>
      </c>
      <c r="G1401" t="s">
        <v>9</v>
      </c>
    </row>
    <row r="1402" spans="1:7" x14ac:dyDescent="0.25">
      <c r="A1402" t="s">
        <v>7</v>
      </c>
      <c r="B1402" t="s">
        <v>11</v>
      </c>
      <c r="C1402" s="1">
        <v>43766</v>
      </c>
      <c r="D1402">
        <v>2019</v>
      </c>
      <c r="E1402">
        <v>10</v>
      </c>
      <c r="F1402">
        <v>20.41266581</v>
      </c>
      <c r="G1402" t="s">
        <v>9</v>
      </c>
    </row>
    <row r="1403" spans="1:7" x14ac:dyDescent="0.25">
      <c r="A1403" t="s">
        <v>7</v>
      </c>
      <c r="B1403" t="s">
        <v>11</v>
      </c>
      <c r="C1403" s="1">
        <v>43769</v>
      </c>
      <c r="D1403">
        <v>2019</v>
      </c>
      <c r="E1403">
        <v>10</v>
      </c>
      <c r="F1403">
        <v>44.437446379999997</v>
      </c>
      <c r="G1403" t="s">
        <v>9</v>
      </c>
    </row>
    <row r="1404" spans="1:7" x14ac:dyDescent="0.25">
      <c r="A1404" t="s">
        <v>7</v>
      </c>
      <c r="B1404" t="s">
        <v>11</v>
      </c>
      <c r="C1404" s="1">
        <v>43774</v>
      </c>
      <c r="D1404">
        <v>2019</v>
      </c>
      <c r="E1404">
        <v>11</v>
      </c>
      <c r="F1404">
        <v>0</v>
      </c>
      <c r="G1404" t="s">
        <v>9</v>
      </c>
    </row>
    <row r="1405" spans="1:7" x14ac:dyDescent="0.25">
      <c r="A1405" t="s">
        <v>7</v>
      </c>
      <c r="B1405" t="s">
        <v>11</v>
      </c>
      <c r="C1405" s="1">
        <v>43775</v>
      </c>
      <c r="D1405">
        <v>2019</v>
      </c>
      <c r="E1405">
        <v>11</v>
      </c>
      <c r="F1405">
        <v>0</v>
      </c>
      <c r="G1405" t="s">
        <v>9</v>
      </c>
    </row>
    <row r="1406" spans="1:7" x14ac:dyDescent="0.25">
      <c r="A1406" t="s">
        <v>7</v>
      </c>
      <c r="B1406" t="s">
        <v>11</v>
      </c>
      <c r="C1406" s="1">
        <v>43776</v>
      </c>
      <c r="D1406">
        <v>2019</v>
      </c>
      <c r="E1406">
        <v>11</v>
      </c>
      <c r="F1406">
        <v>0</v>
      </c>
      <c r="G1406" t="s">
        <v>9</v>
      </c>
    </row>
    <row r="1407" spans="1:7" x14ac:dyDescent="0.25">
      <c r="A1407" t="s">
        <v>7</v>
      </c>
      <c r="B1407" t="s">
        <v>11</v>
      </c>
      <c r="C1407" s="1">
        <v>43779</v>
      </c>
      <c r="D1407">
        <v>2019</v>
      </c>
      <c r="E1407">
        <v>11</v>
      </c>
      <c r="F1407">
        <v>0</v>
      </c>
      <c r="G1407" t="s">
        <v>9</v>
      </c>
    </row>
    <row r="1408" spans="1:7" x14ac:dyDescent="0.25">
      <c r="A1408" t="s">
        <v>7</v>
      </c>
      <c r="B1408" t="s">
        <v>11</v>
      </c>
      <c r="C1408" s="1">
        <v>43790</v>
      </c>
      <c r="D1408">
        <v>2019</v>
      </c>
      <c r="E1408">
        <v>11</v>
      </c>
      <c r="F1408">
        <v>3.2683233920000001</v>
      </c>
      <c r="G1408" t="s">
        <v>9</v>
      </c>
    </row>
    <row r="1409" spans="1:7" x14ac:dyDescent="0.25">
      <c r="A1409" t="s">
        <v>7</v>
      </c>
      <c r="B1409" t="s">
        <v>11</v>
      </c>
      <c r="C1409" s="1">
        <v>43792</v>
      </c>
      <c r="D1409">
        <v>2019</v>
      </c>
      <c r="E1409">
        <v>11</v>
      </c>
      <c r="F1409">
        <v>32.895646560000003</v>
      </c>
      <c r="G1409" t="s">
        <v>9</v>
      </c>
    </row>
    <row r="1410" spans="1:7" x14ac:dyDescent="0.25">
      <c r="A1410" t="s">
        <v>7</v>
      </c>
      <c r="B1410" t="s">
        <v>11</v>
      </c>
      <c r="C1410" s="1">
        <v>43801</v>
      </c>
      <c r="D1410">
        <v>2019</v>
      </c>
      <c r="E1410">
        <v>12</v>
      </c>
      <c r="F1410">
        <v>5.3809617940000001</v>
      </c>
      <c r="G1410" t="s">
        <v>9</v>
      </c>
    </row>
    <row r="1411" spans="1:7" x14ac:dyDescent="0.25">
      <c r="A1411" t="s">
        <v>7</v>
      </c>
      <c r="B1411" t="s">
        <v>11</v>
      </c>
      <c r="C1411" s="1">
        <v>43803</v>
      </c>
      <c r="D1411">
        <v>2019</v>
      </c>
      <c r="E1411">
        <v>12</v>
      </c>
      <c r="F1411">
        <v>4.6243069769999998</v>
      </c>
      <c r="G1411" t="s">
        <v>9</v>
      </c>
    </row>
    <row r="1412" spans="1:7" x14ac:dyDescent="0.25">
      <c r="A1412" t="s">
        <v>7</v>
      </c>
      <c r="B1412" t="s">
        <v>11</v>
      </c>
      <c r="C1412" s="1">
        <v>43806</v>
      </c>
      <c r="D1412">
        <v>2019</v>
      </c>
      <c r="E1412">
        <v>12</v>
      </c>
      <c r="F1412">
        <v>8.4447106660000006</v>
      </c>
      <c r="G1412" t="s">
        <v>9</v>
      </c>
    </row>
    <row r="1413" spans="1:7" x14ac:dyDescent="0.25">
      <c r="A1413" t="s">
        <v>7</v>
      </c>
      <c r="B1413" t="s">
        <v>11</v>
      </c>
      <c r="C1413" s="1">
        <v>43810</v>
      </c>
      <c r="D1413">
        <v>2019</v>
      </c>
      <c r="E1413">
        <v>12</v>
      </c>
      <c r="F1413">
        <v>0</v>
      </c>
      <c r="G1413" t="s">
        <v>9</v>
      </c>
    </row>
    <row r="1414" spans="1:7" x14ac:dyDescent="0.25">
      <c r="A1414" t="s">
        <v>7</v>
      </c>
      <c r="B1414" t="s">
        <v>11</v>
      </c>
      <c r="C1414" s="1">
        <v>43812</v>
      </c>
      <c r="D1414">
        <v>2019</v>
      </c>
      <c r="E1414">
        <v>12</v>
      </c>
      <c r="F1414">
        <v>5.6936263110000001</v>
      </c>
      <c r="G1414" t="s">
        <v>9</v>
      </c>
    </row>
    <row r="1415" spans="1:7" x14ac:dyDescent="0.25">
      <c r="A1415" t="s">
        <v>7</v>
      </c>
      <c r="B1415" t="s">
        <v>11</v>
      </c>
      <c r="C1415" s="1">
        <v>43817</v>
      </c>
      <c r="D1415">
        <v>2019</v>
      </c>
      <c r="E1415">
        <v>12</v>
      </c>
      <c r="F1415">
        <v>0.57939752099999997</v>
      </c>
      <c r="G1415" t="s">
        <v>9</v>
      </c>
    </row>
    <row r="1416" spans="1:7" x14ac:dyDescent="0.25">
      <c r="A1416" t="s">
        <v>7</v>
      </c>
      <c r="B1416" t="s">
        <v>11</v>
      </c>
      <c r="C1416" s="1">
        <v>43819</v>
      </c>
      <c r="D1416">
        <v>2019</v>
      </c>
      <c r="E1416">
        <v>12</v>
      </c>
      <c r="F1416">
        <v>1.7469912519999999</v>
      </c>
      <c r="G1416" t="s">
        <v>9</v>
      </c>
    </row>
    <row r="1417" spans="1:7" x14ac:dyDescent="0.25">
      <c r="A1417" t="s">
        <v>7</v>
      </c>
      <c r="B1417" t="s">
        <v>11</v>
      </c>
      <c r="C1417" s="1">
        <v>43820</v>
      </c>
      <c r="D1417">
        <v>2019</v>
      </c>
      <c r="E1417">
        <v>12</v>
      </c>
      <c r="F1417">
        <v>0.17268593800000001</v>
      </c>
      <c r="G1417" t="s">
        <v>9</v>
      </c>
    </row>
    <row r="1418" spans="1:7" x14ac:dyDescent="0.25">
      <c r="A1418" t="s">
        <v>7</v>
      </c>
      <c r="B1418" t="s">
        <v>11</v>
      </c>
      <c r="C1418" s="1">
        <v>43827</v>
      </c>
      <c r="D1418">
        <v>2019</v>
      </c>
      <c r="E1418">
        <v>12</v>
      </c>
      <c r="F1418">
        <v>0</v>
      </c>
      <c r="G1418" t="s">
        <v>9</v>
      </c>
    </row>
    <row r="1419" spans="1:7" x14ac:dyDescent="0.25">
      <c r="A1419" t="s">
        <v>7</v>
      </c>
      <c r="B1419" t="s">
        <v>12</v>
      </c>
      <c r="C1419" s="1">
        <v>43473</v>
      </c>
      <c r="D1419">
        <v>2019</v>
      </c>
      <c r="E1419">
        <v>1</v>
      </c>
      <c r="F1419">
        <v>0</v>
      </c>
      <c r="G1419" t="s">
        <v>9</v>
      </c>
    </row>
    <row r="1420" spans="1:7" x14ac:dyDescent="0.25">
      <c r="A1420" t="s">
        <v>7</v>
      </c>
      <c r="B1420" t="s">
        <v>12</v>
      </c>
      <c r="C1420" s="1">
        <v>43476</v>
      </c>
      <c r="D1420">
        <v>2019</v>
      </c>
      <c r="E1420">
        <v>1</v>
      </c>
      <c r="F1420">
        <v>0</v>
      </c>
      <c r="G1420" t="s">
        <v>9</v>
      </c>
    </row>
    <row r="1421" spans="1:7" x14ac:dyDescent="0.25">
      <c r="A1421" t="s">
        <v>7</v>
      </c>
      <c r="B1421" t="s">
        <v>12</v>
      </c>
      <c r="C1421" s="1">
        <v>43482</v>
      </c>
      <c r="D1421">
        <v>2019</v>
      </c>
      <c r="E1421">
        <v>1</v>
      </c>
      <c r="F1421">
        <v>0</v>
      </c>
      <c r="G1421" t="s">
        <v>9</v>
      </c>
    </row>
    <row r="1422" spans="1:7" x14ac:dyDescent="0.25">
      <c r="A1422" t="s">
        <v>7</v>
      </c>
      <c r="B1422" t="s">
        <v>12</v>
      </c>
      <c r="C1422" s="1">
        <v>43483</v>
      </c>
      <c r="D1422">
        <v>2019</v>
      </c>
      <c r="E1422">
        <v>1</v>
      </c>
      <c r="F1422">
        <v>0</v>
      </c>
      <c r="G1422" t="s">
        <v>9</v>
      </c>
    </row>
    <row r="1423" spans="1:7" x14ac:dyDescent="0.25">
      <c r="A1423" t="s">
        <v>7</v>
      </c>
      <c r="B1423" t="s">
        <v>12</v>
      </c>
      <c r="C1423" s="1">
        <v>43488</v>
      </c>
      <c r="D1423">
        <v>2019</v>
      </c>
      <c r="E1423">
        <v>1</v>
      </c>
      <c r="F1423">
        <v>0</v>
      </c>
      <c r="G1423" t="s">
        <v>9</v>
      </c>
    </row>
    <row r="1424" spans="1:7" x14ac:dyDescent="0.25">
      <c r="A1424" t="s">
        <v>7</v>
      </c>
      <c r="B1424" t="s">
        <v>12</v>
      </c>
      <c r="C1424" s="1">
        <v>43491</v>
      </c>
      <c r="D1424">
        <v>2019</v>
      </c>
      <c r="E1424">
        <v>1</v>
      </c>
      <c r="F1424">
        <v>0</v>
      </c>
      <c r="G1424" t="s">
        <v>9</v>
      </c>
    </row>
    <row r="1425" spans="1:7" x14ac:dyDescent="0.25">
      <c r="A1425" t="s">
        <v>7</v>
      </c>
      <c r="B1425" t="s">
        <v>12</v>
      </c>
      <c r="C1425" s="1">
        <v>43495</v>
      </c>
      <c r="D1425">
        <v>2019</v>
      </c>
      <c r="E1425">
        <v>1</v>
      </c>
      <c r="F1425">
        <v>0</v>
      </c>
      <c r="G1425" t="s">
        <v>9</v>
      </c>
    </row>
    <row r="1426" spans="1:7" x14ac:dyDescent="0.25">
      <c r="A1426" t="s">
        <v>7</v>
      </c>
      <c r="B1426" t="s">
        <v>12</v>
      </c>
      <c r="C1426" s="1">
        <v>43505</v>
      </c>
      <c r="D1426">
        <v>2019</v>
      </c>
      <c r="E1426">
        <v>2</v>
      </c>
      <c r="F1426">
        <v>0</v>
      </c>
      <c r="G1426" t="s">
        <v>9</v>
      </c>
    </row>
    <row r="1427" spans="1:7" x14ac:dyDescent="0.25">
      <c r="A1427" t="s">
        <v>7</v>
      </c>
      <c r="B1427" t="s">
        <v>12</v>
      </c>
      <c r="C1427" s="1">
        <v>43506</v>
      </c>
      <c r="D1427">
        <v>2019</v>
      </c>
      <c r="E1427">
        <v>2</v>
      </c>
      <c r="F1427">
        <v>0</v>
      </c>
      <c r="G1427" t="s">
        <v>9</v>
      </c>
    </row>
    <row r="1428" spans="1:7" x14ac:dyDescent="0.25">
      <c r="A1428" t="s">
        <v>7</v>
      </c>
      <c r="B1428" t="s">
        <v>12</v>
      </c>
      <c r="C1428" s="1">
        <v>43510</v>
      </c>
      <c r="D1428">
        <v>2019</v>
      </c>
      <c r="E1428">
        <v>2</v>
      </c>
      <c r="F1428">
        <v>0</v>
      </c>
      <c r="G1428" t="s">
        <v>9</v>
      </c>
    </row>
    <row r="1429" spans="1:7" x14ac:dyDescent="0.25">
      <c r="A1429" t="s">
        <v>7</v>
      </c>
      <c r="B1429" t="s">
        <v>12</v>
      </c>
      <c r="C1429" s="1">
        <v>43517</v>
      </c>
      <c r="D1429">
        <v>2019</v>
      </c>
      <c r="E1429">
        <v>2</v>
      </c>
      <c r="F1429">
        <v>0</v>
      </c>
      <c r="G1429" t="s">
        <v>9</v>
      </c>
    </row>
    <row r="1430" spans="1:7" x14ac:dyDescent="0.25">
      <c r="A1430" t="s">
        <v>7</v>
      </c>
      <c r="B1430" t="s">
        <v>12</v>
      </c>
      <c r="C1430" s="1">
        <v>43531</v>
      </c>
      <c r="D1430">
        <v>2019</v>
      </c>
      <c r="E1430">
        <v>3</v>
      </c>
      <c r="F1430">
        <v>0</v>
      </c>
      <c r="G1430" t="s">
        <v>9</v>
      </c>
    </row>
    <row r="1431" spans="1:7" x14ac:dyDescent="0.25">
      <c r="A1431" t="s">
        <v>7</v>
      </c>
      <c r="B1431" t="s">
        <v>12</v>
      </c>
      <c r="C1431" s="1">
        <v>43535</v>
      </c>
      <c r="D1431">
        <v>2019</v>
      </c>
      <c r="E1431">
        <v>3</v>
      </c>
      <c r="F1431">
        <v>0</v>
      </c>
      <c r="G1431" t="s">
        <v>9</v>
      </c>
    </row>
    <row r="1432" spans="1:7" x14ac:dyDescent="0.25">
      <c r="A1432" t="s">
        <v>7</v>
      </c>
      <c r="B1432" t="s">
        <v>12</v>
      </c>
      <c r="C1432" s="1">
        <v>43542</v>
      </c>
      <c r="D1432">
        <v>2019</v>
      </c>
      <c r="E1432">
        <v>3</v>
      </c>
      <c r="F1432">
        <v>0</v>
      </c>
      <c r="G1432" t="s">
        <v>9</v>
      </c>
    </row>
    <row r="1433" spans="1:7" x14ac:dyDescent="0.25">
      <c r="A1433" t="s">
        <v>7</v>
      </c>
      <c r="B1433" t="s">
        <v>12</v>
      </c>
      <c r="C1433" s="1">
        <v>43547</v>
      </c>
      <c r="D1433">
        <v>2019</v>
      </c>
      <c r="E1433">
        <v>3</v>
      </c>
      <c r="F1433">
        <v>0</v>
      </c>
      <c r="G1433" t="s">
        <v>9</v>
      </c>
    </row>
    <row r="1434" spans="1:7" x14ac:dyDescent="0.25">
      <c r="A1434" t="s">
        <v>7</v>
      </c>
      <c r="B1434" t="s">
        <v>12</v>
      </c>
      <c r="C1434" s="1">
        <v>43549</v>
      </c>
      <c r="D1434">
        <v>2019</v>
      </c>
      <c r="E1434">
        <v>3</v>
      </c>
      <c r="F1434">
        <v>0</v>
      </c>
      <c r="G1434" t="s">
        <v>9</v>
      </c>
    </row>
    <row r="1435" spans="1:7" x14ac:dyDescent="0.25">
      <c r="A1435" t="s">
        <v>7</v>
      </c>
      <c r="B1435" t="s">
        <v>12</v>
      </c>
      <c r="C1435" s="1">
        <v>43548</v>
      </c>
      <c r="D1435">
        <v>2019</v>
      </c>
      <c r="E1435">
        <v>3</v>
      </c>
      <c r="F1435">
        <v>0</v>
      </c>
      <c r="G1435" t="s">
        <v>9</v>
      </c>
    </row>
    <row r="1436" spans="1:7" x14ac:dyDescent="0.25">
      <c r="A1436" t="s">
        <v>7</v>
      </c>
      <c r="B1436" t="s">
        <v>12</v>
      </c>
      <c r="C1436" s="1">
        <v>43552</v>
      </c>
      <c r="D1436">
        <v>2019</v>
      </c>
      <c r="E1436">
        <v>3</v>
      </c>
      <c r="F1436">
        <v>0</v>
      </c>
      <c r="G1436" t="s">
        <v>9</v>
      </c>
    </row>
    <row r="1437" spans="1:7" x14ac:dyDescent="0.25">
      <c r="A1437" t="s">
        <v>7</v>
      </c>
      <c r="B1437" t="s">
        <v>12</v>
      </c>
      <c r="C1437" s="1">
        <v>43553</v>
      </c>
      <c r="D1437">
        <v>2019</v>
      </c>
      <c r="E1437">
        <v>3</v>
      </c>
      <c r="F1437">
        <v>0</v>
      </c>
      <c r="G1437" t="s">
        <v>9</v>
      </c>
    </row>
    <row r="1438" spans="1:7" x14ac:dyDescent="0.25">
      <c r="A1438" t="s">
        <v>7</v>
      </c>
      <c r="B1438" t="s">
        <v>12</v>
      </c>
      <c r="C1438" s="1">
        <v>43555</v>
      </c>
      <c r="D1438">
        <v>2019</v>
      </c>
      <c r="E1438">
        <v>3</v>
      </c>
      <c r="F1438">
        <v>0</v>
      </c>
      <c r="G1438" t="s">
        <v>9</v>
      </c>
    </row>
    <row r="1439" spans="1:7" x14ac:dyDescent="0.25">
      <c r="A1439" t="s">
        <v>7</v>
      </c>
      <c r="B1439" t="s">
        <v>12</v>
      </c>
      <c r="C1439" s="1">
        <v>43560</v>
      </c>
      <c r="D1439">
        <v>2019</v>
      </c>
      <c r="E1439">
        <v>4</v>
      </c>
      <c r="F1439">
        <v>0</v>
      </c>
      <c r="G1439" t="s">
        <v>9</v>
      </c>
    </row>
    <row r="1440" spans="1:7" x14ac:dyDescent="0.25">
      <c r="A1440" t="s">
        <v>7</v>
      </c>
      <c r="B1440" t="s">
        <v>12</v>
      </c>
      <c r="C1440" s="1">
        <v>43565</v>
      </c>
      <c r="D1440">
        <v>2019</v>
      </c>
      <c r="E1440">
        <v>4</v>
      </c>
      <c r="F1440">
        <v>0</v>
      </c>
      <c r="G1440" t="s">
        <v>9</v>
      </c>
    </row>
    <row r="1441" spans="1:7" x14ac:dyDescent="0.25">
      <c r="A1441" t="s">
        <v>7</v>
      </c>
      <c r="B1441" t="s">
        <v>12</v>
      </c>
      <c r="C1441" s="1">
        <v>43576</v>
      </c>
      <c r="D1441">
        <v>2019</v>
      </c>
      <c r="E1441">
        <v>4</v>
      </c>
      <c r="F1441">
        <v>0.17039738600000001</v>
      </c>
      <c r="G1441" t="s">
        <v>9</v>
      </c>
    </row>
    <row r="1442" spans="1:7" x14ac:dyDescent="0.25">
      <c r="A1442" t="s">
        <v>7</v>
      </c>
      <c r="B1442" t="s">
        <v>12</v>
      </c>
      <c r="C1442" s="1">
        <v>43580</v>
      </c>
      <c r="D1442">
        <v>2019</v>
      </c>
      <c r="E1442">
        <v>4</v>
      </c>
      <c r="F1442">
        <v>0.127798036</v>
      </c>
      <c r="G1442" t="s">
        <v>9</v>
      </c>
    </row>
    <row r="1443" spans="1:7" x14ac:dyDescent="0.25">
      <c r="A1443" t="s">
        <v>7</v>
      </c>
      <c r="B1443" t="s">
        <v>12</v>
      </c>
      <c r="C1443" s="1">
        <v>43585</v>
      </c>
      <c r="D1443">
        <v>2019</v>
      </c>
      <c r="E1443">
        <v>4</v>
      </c>
      <c r="F1443">
        <v>11.4802084</v>
      </c>
      <c r="G1443" t="s">
        <v>9</v>
      </c>
    </row>
    <row r="1444" spans="1:7" x14ac:dyDescent="0.25">
      <c r="A1444" t="s">
        <v>7</v>
      </c>
      <c r="B1444" t="s">
        <v>12</v>
      </c>
      <c r="C1444" s="1">
        <v>43587</v>
      </c>
      <c r="D1444">
        <v>2019</v>
      </c>
      <c r="E1444">
        <v>5</v>
      </c>
      <c r="F1444">
        <v>11.611200330000001</v>
      </c>
      <c r="G1444" t="s">
        <v>9</v>
      </c>
    </row>
    <row r="1445" spans="1:7" x14ac:dyDescent="0.25">
      <c r="A1445" t="s">
        <v>7</v>
      </c>
      <c r="B1445" t="s">
        <v>12</v>
      </c>
      <c r="C1445" s="1">
        <v>43588</v>
      </c>
      <c r="D1445">
        <v>2019</v>
      </c>
      <c r="E1445">
        <v>5</v>
      </c>
      <c r="F1445">
        <v>0</v>
      </c>
      <c r="G1445" t="s">
        <v>9</v>
      </c>
    </row>
    <row r="1446" spans="1:7" x14ac:dyDescent="0.25">
      <c r="A1446" t="s">
        <v>7</v>
      </c>
      <c r="B1446" t="s">
        <v>12</v>
      </c>
      <c r="C1446" s="1">
        <v>43596</v>
      </c>
      <c r="D1446">
        <v>2019</v>
      </c>
      <c r="E1446">
        <v>5</v>
      </c>
      <c r="F1446">
        <v>0</v>
      </c>
      <c r="G1446" t="s">
        <v>9</v>
      </c>
    </row>
    <row r="1447" spans="1:7" x14ac:dyDescent="0.25">
      <c r="A1447" t="s">
        <v>7</v>
      </c>
      <c r="B1447" t="s">
        <v>12</v>
      </c>
      <c r="C1447" s="1">
        <v>43598</v>
      </c>
      <c r="D1447">
        <v>2019</v>
      </c>
      <c r="E1447">
        <v>5</v>
      </c>
      <c r="F1447">
        <v>0</v>
      </c>
      <c r="G1447" t="s">
        <v>9</v>
      </c>
    </row>
    <row r="1448" spans="1:7" x14ac:dyDescent="0.25">
      <c r="A1448" t="s">
        <v>7</v>
      </c>
      <c r="B1448" t="s">
        <v>12</v>
      </c>
      <c r="C1448" s="1">
        <v>43608</v>
      </c>
      <c r="D1448">
        <v>2019</v>
      </c>
      <c r="E1448">
        <v>5</v>
      </c>
      <c r="F1448">
        <v>0</v>
      </c>
      <c r="G1448" t="s">
        <v>9</v>
      </c>
    </row>
    <row r="1449" spans="1:7" x14ac:dyDescent="0.25">
      <c r="A1449" t="s">
        <v>7</v>
      </c>
      <c r="B1449" t="s">
        <v>12</v>
      </c>
      <c r="C1449" s="1">
        <v>43616</v>
      </c>
      <c r="D1449">
        <v>2019</v>
      </c>
      <c r="E1449">
        <v>5</v>
      </c>
      <c r="F1449">
        <v>0</v>
      </c>
      <c r="G1449" t="s">
        <v>9</v>
      </c>
    </row>
    <row r="1450" spans="1:7" x14ac:dyDescent="0.25">
      <c r="A1450" t="s">
        <v>7</v>
      </c>
      <c r="B1450" t="s">
        <v>12</v>
      </c>
      <c r="C1450" s="1">
        <v>43626</v>
      </c>
      <c r="D1450">
        <v>2019</v>
      </c>
      <c r="E1450">
        <v>6</v>
      </c>
      <c r="F1450">
        <v>16.07901382</v>
      </c>
      <c r="G1450" t="s">
        <v>9</v>
      </c>
    </row>
    <row r="1451" spans="1:7" x14ac:dyDescent="0.25">
      <c r="A1451" t="s">
        <v>7</v>
      </c>
      <c r="B1451" t="s">
        <v>12</v>
      </c>
      <c r="C1451" s="1">
        <v>43629</v>
      </c>
      <c r="D1451">
        <v>2019</v>
      </c>
      <c r="E1451">
        <v>6</v>
      </c>
      <c r="F1451">
        <v>31.161777499999999</v>
      </c>
      <c r="G1451" t="s">
        <v>9</v>
      </c>
    </row>
    <row r="1452" spans="1:7" x14ac:dyDescent="0.25">
      <c r="A1452" t="s">
        <v>7</v>
      </c>
      <c r="B1452" t="s">
        <v>12</v>
      </c>
      <c r="C1452" s="1">
        <v>43644</v>
      </c>
      <c r="D1452">
        <v>2019</v>
      </c>
      <c r="E1452">
        <v>6</v>
      </c>
      <c r="F1452">
        <v>1.9178904290000001</v>
      </c>
      <c r="G1452" t="s">
        <v>9</v>
      </c>
    </row>
    <row r="1453" spans="1:7" x14ac:dyDescent="0.25">
      <c r="A1453" t="s">
        <v>7</v>
      </c>
      <c r="B1453" t="s">
        <v>12</v>
      </c>
      <c r="C1453" s="1">
        <v>43647</v>
      </c>
      <c r="D1453">
        <v>2019</v>
      </c>
      <c r="E1453">
        <v>7</v>
      </c>
      <c r="F1453">
        <v>2.1087105269999999</v>
      </c>
      <c r="G1453" t="s">
        <v>9</v>
      </c>
    </row>
    <row r="1454" spans="1:7" x14ac:dyDescent="0.25">
      <c r="A1454" t="s">
        <v>7</v>
      </c>
      <c r="B1454" t="s">
        <v>12</v>
      </c>
      <c r="C1454" s="1">
        <v>43650</v>
      </c>
      <c r="D1454">
        <v>2019</v>
      </c>
      <c r="E1454">
        <v>7</v>
      </c>
      <c r="F1454">
        <v>9.5689859389999992</v>
      </c>
      <c r="G1454" t="s">
        <v>9</v>
      </c>
    </row>
    <row r="1455" spans="1:7" x14ac:dyDescent="0.25">
      <c r="A1455" t="s">
        <v>7</v>
      </c>
      <c r="B1455" t="s">
        <v>12</v>
      </c>
      <c r="C1455" s="1">
        <v>43654</v>
      </c>
      <c r="D1455">
        <v>2019</v>
      </c>
      <c r="E1455">
        <v>7</v>
      </c>
      <c r="F1455">
        <v>16.661830899999998</v>
      </c>
      <c r="G1455" t="s">
        <v>9</v>
      </c>
    </row>
    <row r="1456" spans="1:7" x14ac:dyDescent="0.25">
      <c r="A1456" t="s">
        <v>7</v>
      </c>
      <c r="B1456" t="s">
        <v>12</v>
      </c>
      <c r="C1456" s="1">
        <v>43655</v>
      </c>
      <c r="D1456">
        <v>2019</v>
      </c>
      <c r="E1456">
        <v>7</v>
      </c>
      <c r="F1456">
        <v>46.940792080000001</v>
      </c>
      <c r="G1456" t="s">
        <v>9</v>
      </c>
    </row>
    <row r="1457" spans="1:7" x14ac:dyDescent="0.25">
      <c r="A1457" t="s">
        <v>7</v>
      </c>
      <c r="B1457" t="s">
        <v>12</v>
      </c>
      <c r="C1457" s="1">
        <v>43669</v>
      </c>
      <c r="D1457">
        <v>2019</v>
      </c>
      <c r="E1457">
        <v>7</v>
      </c>
      <c r="F1457">
        <v>106.11170199999999</v>
      </c>
      <c r="G1457" t="s">
        <v>9</v>
      </c>
    </row>
    <row r="1458" spans="1:7" x14ac:dyDescent="0.25">
      <c r="A1458" t="s">
        <v>7</v>
      </c>
      <c r="B1458" t="s">
        <v>12</v>
      </c>
      <c r="C1458" s="1">
        <v>43677</v>
      </c>
      <c r="D1458">
        <v>2019</v>
      </c>
      <c r="E1458">
        <v>7</v>
      </c>
      <c r="F1458">
        <v>8.4449815749999999</v>
      </c>
      <c r="G1458" t="s">
        <v>9</v>
      </c>
    </row>
    <row r="1459" spans="1:7" x14ac:dyDescent="0.25">
      <c r="A1459" t="s">
        <v>7</v>
      </c>
      <c r="B1459" t="s">
        <v>12</v>
      </c>
      <c r="C1459" s="1">
        <v>43685</v>
      </c>
      <c r="D1459">
        <v>2019</v>
      </c>
      <c r="E1459">
        <v>8</v>
      </c>
      <c r="F1459">
        <v>70.52516937</v>
      </c>
      <c r="G1459" t="s">
        <v>9</v>
      </c>
    </row>
    <row r="1460" spans="1:7" x14ac:dyDescent="0.25">
      <c r="A1460" t="s">
        <v>7</v>
      </c>
      <c r="B1460" t="s">
        <v>12</v>
      </c>
      <c r="C1460" s="1">
        <v>43689</v>
      </c>
      <c r="D1460">
        <v>2019</v>
      </c>
      <c r="E1460">
        <v>8</v>
      </c>
      <c r="F1460">
        <v>12.283864019999999</v>
      </c>
      <c r="G1460" t="s">
        <v>9</v>
      </c>
    </row>
    <row r="1461" spans="1:7" x14ac:dyDescent="0.25">
      <c r="A1461" t="s">
        <v>7</v>
      </c>
      <c r="B1461" t="s">
        <v>12</v>
      </c>
      <c r="C1461" s="1">
        <v>43694</v>
      </c>
      <c r="D1461">
        <v>2019</v>
      </c>
      <c r="E1461">
        <v>8</v>
      </c>
      <c r="F1461">
        <v>4.8954901700000004</v>
      </c>
      <c r="G146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966F-CFCD-48DB-B28B-88D2DBC93875}">
  <dimension ref="A1:D49"/>
  <sheetViews>
    <sheetView topLeftCell="A27" workbookViewId="0">
      <selection sqref="A1:XFD49"/>
    </sheetView>
  </sheetViews>
  <sheetFormatPr defaultRowHeight="15" x14ac:dyDescent="0.25"/>
  <sheetData>
    <row r="1" spans="1:4" x14ac:dyDescent="0.25">
      <c r="A1" t="s">
        <v>1</v>
      </c>
      <c r="B1" t="s">
        <v>3</v>
      </c>
      <c r="C1" t="s">
        <v>4</v>
      </c>
      <c r="D1" t="s">
        <v>75</v>
      </c>
    </row>
    <row r="2" spans="1:4" x14ac:dyDescent="0.25">
      <c r="A2" t="s">
        <v>11</v>
      </c>
      <c r="B2">
        <v>2019</v>
      </c>
      <c r="C2">
        <v>1</v>
      </c>
      <c r="D2">
        <v>0</v>
      </c>
    </row>
    <row r="3" spans="1:4" x14ac:dyDescent="0.25">
      <c r="A3" t="s">
        <v>11</v>
      </c>
      <c r="B3">
        <v>2019</v>
      </c>
      <c r="C3">
        <v>2</v>
      </c>
      <c r="D3">
        <v>9.1658143019999994</v>
      </c>
    </row>
    <row r="4" spans="1:4" x14ac:dyDescent="0.25">
      <c r="A4" t="s">
        <v>11</v>
      </c>
      <c r="B4">
        <v>2019</v>
      </c>
      <c r="C4">
        <v>3</v>
      </c>
      <c r="D4">
        <v>0.92913429400000003</v>
      </c>
    </row>
    <row r="5" spans="1:4" x14ac:dyDescent="0.25">
      <c r="A5" t="s">
        <v>11</v>
      </c>
      <c r="B5">
        <v>2019</v>
      </c>
      <c r="C5">
        <v>4</v>
      </c>
      <c r="D5">
        <v>0.15261143900000002</v>
      </c>
    </row>
    <row r="6" spans="1:4" x14ac:dyDescent="0.25">
      <c r="A6" t="s">
        <v>11</v>
      </c>
      <c r="B6">
        <v>2019</v>
      </c>
      <c r="C6">
        <v>5</v>
      </c>
      <c r="D6">
        <v>0</v>
      </c>
    </row>
    <row r="7" spans="1:4" x14ac:dyDescent="0.25">
      <c r="A7" t="s">
        <v>11</v>
      </c>
      <c r="B7">
        <v>2019</v>
      </c>
      <c r="C7">
        <v>6</v>
      </c>
      <c r="D7">
        <v>13.349442033000001</v>
      </c>
    </row>
    <row r="8" spans="1:4" x14ac:dyDescent="0.25">
      <c r="A8" t="s">
        <v>11</v>
      </c>
      <c r="B8">
        <v>2019</v>
      </c>
      <c r="C8">
        <v>7</v>
      </c>
      <c r="D8">
        <v>23.672271503999998</v>
      </c>
    </row>
    <row r="9" spans="1:4" x14ac:dyDescent="0.25">
      <c r="A9" t="s">
        <v>11</v>
      </c>
      <c r="B9">
        <v>2019</v>
      </c>
      <c r="C9">
        <v>8</v>
      </c>
      <c r="D9">
        <v>109.449435718</v>
      </c>
    </row>
    <row r="10" spans="1:4" x14ac:dyDescent="0.25">
      <c r="A10" t="s">
        <v>11</v>
      </c>
      <c r="B10">
        <v>2019</v>
      </c>
      <c r="C10">
        <v>9</v>
      </c>
      <c r="D10">
        <v>178.713266258</v>
      </c>
    </row>
    <row r="11" spans="1:4" x14ac:dyDescent="0.25">
      <c r="A11" t="s">
        <v>11</v>
      </c>
      <c r="B11">
        <v>2019</v>
      </c>
      <c r="C11">
        <v>10</v>
      </c>
      <c r="D11">
        <v>339.93209584099998</v>
      </c>
    </row>
    <row r="12" spans="1:4" x14ac:dyDescent="0.25">
      <c r="A12" t="s">
        <v>11</v>
      </c>
      <c r="B12">
        <v>2019</v>
      </c>
      <c r="C12">
        <v>11</v>
      </c>
      <c r="D12">
        <v>353.01901642600001</v>
      </c>
    </row>
    <row r="13" spans="1:4" x14ac:dyDescent="0.25">
      <c r="A13" t="s">
        <v>11</v>
      </c>
      <c r="B13">
        <v>2019</v>
      </c>
      <c r="C13">
        <v>12</v>
      </c>
      <c r="D13">
        <v>355.84132308499989</v>
      </c>
    </row>
    <row r="14" spans="1:4" x14ac:dyDescent="0.25">
      <c r="A14" t="s">
        <v>12</v>
      </c>
      <c r="B14">
        <v>2019</v>
      </c>
      <c r="C14">
        <v>1</v>
      </c>
      <c r="D14">
        <v>0</v>
      </c>
    </row>
    <row r="15" spans="1:4" x14ac:dyDescent="0.25">
      <c r="A15" t="s">
        <v>12</v>
      </c>
      <c r="B15">
        <v>2019</v>
      </c>
      <c r="C15">
        <v>2</v>
      </c>
      <c r="D15">
        <v>0</v>
      </c>
    </row>
    <row r="16" spans="1:4" x14ac:dyDescent="0.25">
      <c r="A16" t="s">
        <v>12</v>
      </c>
      <c r="B16">
        <v>2019</v>
      </c>
      <c r="C16">
        <v>3</v>
      </c>
      <c r="D16">
        <v>0</v>
      </c>
    </row>
    <row r="17" spans="1:4" x14ac:dyDescent="0.25">
      <c r="A17" t="s">
        <v>12</v>
      </c>
      <c r="B17">
        <v>2019</v>
      </c>
      <c r="C17">
        <v>4</v>
      </c>
      <c r="D17">
        <v>32.637675527000006</v>
      </c>
    </row>
    <row r="18" spans="1:4" x14ac:dyDescent="0.25">
      <c r="A18" t="s">
        <v>12</v>
      </c>
      <c r="B18">
        <v>2019</v>
      </c>
      <c r="C18">
        <v>5</v>
      </c>
      <c r="D18">
        <v>41.663589055000003</v>
      </c>
    </row>
    <row r="19" spans="1:4" x14ac:dyDescent="0.25">
      <c r="A19" t="s">
        <v>12</v>
      </c>
      <c r="B19">
        <v>2019</v>
      </c>
      <c r="C19">
        <v>6</v>
      </c>
      <c r="D19">
        <v>610.44939981499988</v>
      </c>
    </row>
    <row r="20" spans="1:4" x14ac:dyDescent="0.25">
      <c r="A20" t="s">
        <v>12</v>
      </c>
      <c r="B20">
        <v>2019</v>
      </c>
      <c r="C20">
        <v>7</v>
      </c>
      <c r="D20">
        <v>1076.7193428479998</v>
      </c>
    </row>
    <row r="21" spans="1:4" x14ac:dyDescent="0.25">
      <c r="A21" t="s">
        <v>12</v>
      </c>
      <c r="B21">
        <v>2019</v>
      </c>
      <c r="C21">
        <v>8</v>
      </c>
      <c r="D21">
        <v>1450.6353487019994</v>
      </c>
    </row>
    <row r="22" spans="1:4" x14ac:dyDescent="0.25">
      <c r="A22" t="s">
        <v>12</v>
      </c>
      <c r="B22">
        <v>2019</v>
      </c>
      <c r="C22">
        <v>9</v>
      </c>
      <c r="D22">
        <v>520.47046950899994</v>
      </c>
    </row>
    <row r="23" spans="1:4" x14ac:dyDescent="0.25">
      <c r="A23" t="s">
        <v>12</v>
      </c>
      <c r="B23">
        <v>2019</v>
      </c>
      <c r="C23">
        <v>10</v>
      </c>
      <c r="D23">
        <v>543.82237067100004</v>
      </c>
    </row>
    <row r="24" spans="1:4" x14ac:dyDescent="0.25">
      <c r="A24" t="s">
        <v>12</v>
      </c>
      <c r="B24">
        <v>2019</v>
      </c>
      <c r="C24">
        <v>11</v>
      </c>
      <c r="D24">
        <v>106.62842515</v>
      </c>
    </row>
    <row r="25" spans="1:4" x14ac:dyDescent="0.25">
      <c r="A25" t="s">
        <v>12</v>
      </c>
      <c r="B25">
        <v>2019</v>
      </c>
      <c r="C25">
        <v>12</v>
      </c>
      <c r="D25">
        <v>43.916472402000004</v>
      </c>
    </row>
    <row r="26" spans="1:4" x14ac:dyDescent="0.25">
      <c r="A26" t="s">
        <v>8</v>
      </c>
      <c r="B26">
        <v>2019</v>
      </c>
      <c r="C26">
        <v>1</v>
      </c>
      <c r="D26">
        <v>0.34661178999999998</v>
      </c>
    </row>
    <row r="27" spans="1:4" x14ac:dyDescent="0.25">
      <c r="A27" t="s">
        <v>8</v>
      </c>
      <c r="B27">
        <v>2019</v>
      </c>
      <c r="C27">
        <v>2</v>
      </c>
      <c r="D27">
        <v>0</v>
      </c>
    </row>
    <row r="28" spans="1:4" x14ac:dyDescent="0.25">
      <c r="A28" t="s">
        <v>8</v>
      </c>
      <c r="B28">
        <v>2019</v>
      </c>
      <c r="C28">
        <v>3</v>
      </c>
      <c r="D28">
        <v>0</v>
      </c>
    </row>
    <row r="29" spans="1:4" x14ac:dyDescent="0.25">
      <c r="A29" t="s">
        <v>8</v>
      </c>
      <c r="B29">
        <v>2019</v>
      </c>
      <c r="C29">
        <v>4</v>
      </c>
      <c r="D29">
        <v>0.22935670899999999</v>
      </c>
    </row>
    <row r="30" spans="1:4" x14ac:dyDescent="0.25">
      <c r="A30" t="s">
        <v>8</v>
      </c>
      <c r="B30">
        <v>2019</v>
      </c>
      <c r="C30">
        <v>5</v>
      </c>
      <c r="D30">
        <v>13.982447851</v>
      </c>
    </row>
    <row r="31" spans="1:4" x14ac:dyDescent="0.25">
      <c r="A31" t="s">
        <v>8</v>
      </c>
      <c r="B31">
        <v>2019</v>
      </c>
      <c r="C31">
        <v>6</v>
      </c>
      <c r="D31">
        <v>14.047029446</v>
      </c>
    </row>
    <row r="32" spans="1:4" x14ac:dyDescent="0.25">
      <c r="A32" t="s">
        <v>8</v>
      </c>
      <c r="B32">
        <v>2019</v>
      </c>
      <c r="C32">
        <v>7</v>
      </c>
      <c r="D32">
        <v>106.98965048300001</v>
      </c>
    </row>
    <row r="33" spans="1:4" x14ac:dyDescent="0.25">
      <c r="A33" t="s">
        <v>8</v>
      </c>
      <c r="B33">
        <v>2019</v>
      </c>
      <c r="C33">
        <v>8</v>
      </c>
      <c r="D33">
        <v>153.041236892</v>
      </c>
    </row>
    <row r="34" spans="1:4" x14ac:dyDescent="0.25">
      <c r="A34" t="s">
        <v>8</v>
      </c>
      <c r="B34">
        <v>2019</v>
      </c>
      <c r="C34">
        <v>9</v>
      </c>
      <c r="D34">
        <v>141.01450577899999</v>
      </c>
    </row>
    <row r="35" spans="1:4" x14ac:dyDescent="0.25">
      <c r="A35" t="s">
        <v>8</v>
      </c>
      <c r="B35">
        <v>2019</v>
      </c>
      <c r="C35">
        <v>10</v>
      </c>
      <c r="D35">
        <v>238.07444378299999</v>
      </c>
    </row>
    <row r="36" spans="1:4" x14ac:dyDescent="0.25">
      <c r="A36" t="s">
        <v>8</v>
      </c>
      <c r="B36">
        <v>2019</v>
      </c>
      <c r="C36">
        <v>11</v>
      </c>
      <c r="D36">
        <v>216.28457588400002</v>
      </c>
    </row>
    <row r="37" spans="1:4" x14ac:dyDescent="0.25">
      <c r="A37" t="s">
        <v>8</v>
      </c>
      <c r="B37">
        <v>2019</v>
      </c>
      <c r="C37">
        <v>12</v>
      </c>
      <c r="D37">
        <v>246.30506319900002</v>
      </c>
    </row>
    <row r="38" spans="1:4" x14ac:dyDescent="0.25">
      <c r="A38" t="s">
        <v>10</v>
      </c>
      <c r="B38">
        <v>2019</v>
      </c>
      <c r="C38">
        <v>1</v>
      </c>
      <c r="D38">
        <v>4.8676037790000004</v>
      </c>
    </row>
    <row r="39" spans="1:4" x14ac:dyDescent="0.25">
      <c r="A39" t="s">
        <v>10</v>
      </c>
      <c r="B39">
        <v>2019</v>
      </c>
      <c r="C39">
        <v>2</v>
      </c>
      <c r="D39">
        <v>0</v>
      </c>
    </row>
    <row r="40" spans="1:4" x14ac:dyDescent="0.25">
      <c r="A40" t="s">
        <v>10</v>
      </c>
      <c r="B40">
        <v>2019</v>
      </c>
      <c r="C40">
        <v>3</v>
      </c>
      <c r="D40">
        <v>17.475863099999998</v>
      </c>
    </row>
    <row r="41" spans="1:4" x14ac:dyDescent="0.25">
      <c r="A41" t="s">
        <v>10</v>
      </c>
      <c r="B41">
        <v>2019</v>
      </c>
      <c r="C41">
        <v>4</v>
      </c>
      <c r="D41">
        <v>56.234339715999994</v>
      </c>
    </row>
    <row r="42" spans="1:4" x14ac:dyDescent="0.25">
      <c r="A42" t="s">
        <v>10</v>
      </c>
      <c r="B42">
        <v>2019</v>
      </c>
      <c r="C42">
        <v>5</v>
      </c>
      <c r="D42">
        <v>47.968110658000001</v>
      </c>
    </row>
    <row r="43" spans="1:4" x14ac:dyDescent="0.25">
      <c r="A43" t="s">
        <v>10</v>
      </c>
      <c r="B43">
        <v>2019</v>
      </c>
      <c r="C43">
        <v>6</v>
      </c>
      <c r="D43">
        <v>102.87549728099999</v>
      </c>
    </row>
    <row r="44" spans="1:4" x14ac:dyDescent="0.25">
      <c r="A44" t="s">
        <v>10</v>
      </c>
      <c r="B44">
        <v>2019</v>
      </c>
      <c r="C44">
        <v>7</v>
      </c>
      <c r="D44">
        <v>224.05075443200002</v>
      </c>
    </row>
    <row r="45" spans="1:4" x14ac:dyDescent="0.25">
      <c r="A45" t="s">
        <v>10</v>
      </c>
      <c r="B45">
        <v>2019</v>
      </c>
      <c r="C45">
        <v>8</v>
      </c>
      <c r="D45">
        <v>258.95740243900002</v>
      </c>
    </row>
    <row r="46" spans="1:4" x14ac:dyDescent="0.25">
      <c r="A46" t="s">
        <v>10</v>
      </c>
      <c r="B46">
        <v>2019</v>
      </c>
      <c r="C46">
        <v>9</v>
      </c>
      <c r="D46">
        <v>217.63690120800004</v>
      </c>
    </row>
    <row r="47" spans="1:4" x14ac:dyDescent="0.25">
      <c r="A47" t="s">
        <v>10</v>
      </c>
      <c r="B47">
        <v>2019</v>
      </c>
      <c r="C47">
        <v>10</v>
      </c>
      <c r="D47">
        <v>213.04490292300005</v>
      </c>
    </row>
    <row r="48" spans="1:4" x14ac:dyDescent="0.25">
      <c r="A48" t="s">
        <v>10</v>
      </c>
      <c r="B48">
        <v>2019</v>
      </c>
      <c r="C48">
        <v>11</v>
      </c>
      <c r="D48">
        <v>10.345064163</v>
      </c>
    </row>
    <row r="49" spans="1:4" x14ac:dyDescent="0.25">
      <c r="A49" t="s">
        <v>10</v>
      </c>
      <c r="B49">
        <v>2019</v>
      </c>
      <c r="C49">
        <v>12</v>
      </c>
      <c r="D49">
        <v>0.27743479599999998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7A0E-4FA2-45C9-A121-D6FA58BAB23E}">
  <dimension ref="A3:C60"/>
  <sheetViews>
    <sheetView workbookViewId="0">
      <selection activeCell="C14" sqref="A3:C60"/>
    </sheetView>
  </sheetViews>
  <sheetFormatPr defaultRowHeight="15" x14ac:dyDescent="0.25"/>
  <cols>
    <col min="1" max="1" width="13.5703125" bestFit="1" customWidth="1"/>
    <col min="2" max="2" width="18.42578125" bestFit="1" customWidth="1"/>
    <col min="3" max="3" width="15.28515625" bestFit="1" customWidth="1"/>
    <col min="4" max="4" width="16.28515625" bestFit="1" customWidth="1"/>
    <col min="5" max="5" width="11.28515625" bestFit="1" customWidth="1"/>
  </cols>
  <sheetData>
    <row r="3" spans="1:3" x14ac:dyDescent="0.25">
      <c r="A3" s="2" t="s">
        <v>71</v>
      </c>
      <c r="B3" t="s">
        <v>73</v>
      </c>
      <c r="C3" t="s">
        <v>74</v>
      </c>
    </row>
    <row r="4" spans="1:3" x14ac:dyDescent="0.25">
      <c r="A4" s="3" t="s">
        <v>11</v>
      </c>
      <c r="B4">
        <v>1384.2244109000003</v>
      </c>
      <c r="C4">
        <v>365</v>
      </c>
    </row>
    <row r="5" spans="1:3" x14ac:dyDescent="0.25">
      <c r="A5" s="4">
        <v>2019</v>
      </c>
      <c r="B5">
        <v>1384.2244109000003</v>
      </c>
      <c r="C5">
        <v>365</v>
      </c>
    </row>
    <row r="6" spans="1:3" x14ac:dyDescent="0.25">
      <c r="A6" s="5">
        <v>1</v>
      </c>
      <c r="B6">
        <v>0</v>
      </c>
      <c r="C6">
        <v>31</v>
      </c>
    </row>
    <row r="7" spans="1:3" x14ac:dyDescent="0.25">
      <c r="A7" s="5">
        <v>2</v>
      </c>
      <c r="B7">
        <v>9.1658143019999994</v>
      </c>
      <c r="C7">
        <v>28</v>
      </c>
    </row>
    <row r="8" spans="1:3" x14ac:dyDescent="0.25">
      <c r="A8" s="5">
        <v>3</v>
      </c>
      <c r="B8">
        <v>0.92913429400000003</v>
      </c>
      <c r="C8">
        <v>31</v>
      </c>
    </row>
    <row r="9" spans="1:3" x14ac:dyDescent="0.25">
      <c r="A9" s="5">
        <v>4</v>
      </c>
      <c r="B9">
        <v>0.15261143900000002</v>
      </c>
      <c r="C9">
        <v>30</v>
      </c>
    </row>
    <row r="10" spans="1:3" x14ac:dyDescent="0.25">
      <c r="A10" s="5">
        <v>5</v>
      </c>
      <c r="B10">
        <v>0</v>
      </c>
      <c r="C10">
        <v>31</v>
      </c>
    </row>
    <row r="11" spans="1:3" x14ac:dyDescent="0.25">
      <c r="A11" s="5">
        <v>6</v>
      </c>
      <c r="B11">
        <v>13.349442033000001</v>
      </c>
      <c r="C11">
        <v>30</v>
      </c>
    </row>
    <row r="12" spans="1:3" x14ac:dyDescent="0.25">
      <c r="A12" s="5">
        <v>7</v>
      </c>
      <c r="B12">
        <v>23.672271503999998</v>
      </c>
      <c r="C12">
        <v>31</v>
      </c>
    </row>
    <row r="13" spans="1:3" x14ac:dyDescent="0.25">
      <c r="A13" s="5">
        <v>8</v>
      </c>
      <c r="B13">
        <v>109.449435718</v>
      </c>
      <c r="C13">
        <v>31</v>
      </c>
    </row>
    <row r="14" spans="1:3" x14ac:dyDescent="0.25">
      <c r="A14" s="5">
        <v>9</v>
      </c>
      <c r="B14">
        <v>178.713266258</v>
      </c>
      <c r="C14">
        <v>30</v>
      </c>
    </row>
    <row r="15" spans="1:3" x14ac:dyDescent="0.25">
      <c r="A15" s="5">
        <v>10</v>
      </c>
      <c r="B15">
        <v>339.93209584099998</v>
      </c>
      <c r="C15">
        <v>31</v>
      </c>
    </row>
    <row r="16" spans="1:3" x14ac:dyDescent="0.25">
      <c r="A16" s="5">
        <v>11</v>
      </c>
      <c r="B16">
        <v>353.01901642600001</v>
      </c>
      <c r="C16">
        <v>30</v>
      </c>
    </row>
    <row r="17" spans="1:3" x14ac:dyDescent="0.25">
      <c r="A17" s="5">
        <v>12</v>
      </c>
      <c r="B17">
        <v>355.84132308499989</v>
      </c>
      <c r="C17">
        <v>31</v>
      </c>
    </row>
    <row r="18" spans="1:3" x14ac:dyDescent="0.25">
      <c r="A18" s="3" t="s">
        <v>12</v>
      </c>
      <c r="B18">
        <v>4426.9430936790004</v>
      </c>
      <c r="C18">
        <v>365</v>
      </c>
    </row>
    <row r="19" spans="1:3" x14ac:dyDescent="0.25">
      <c r="A19" s="4">
        <v>2019</v>
      </c>
      <c r="B19">
        <v>4426.9430936790004</v>
      </c>
      <c r="C19">
        <v>365</v>
      </c>
    </row>
    <row r="20" spans="1:3" x14ac:dyDescent="0.25">
      <c r="A20" s="5">
        <v>1</v>
      </c>
      <c r="B20">
        <v>0</v>
      </c>
      <c r="C20">
        <v>31</v>
      </c>
    </row>
    <row r="21" spans="1:3" x14ac:dyDescent="0.25">
      <c r="A21" s="5">
        <v>2</v>
      </c>
      <c r="B21">
        <v>0</v>
      </c>
      <c r="C21">
        <v>28</v>
      </c>
    </row>
    <row r="22" spans="1:3" x14ac:dyDescent="0.25">
      <c r="A22" s="5">
        <v>3</v>
      </c>
      <c r="B22">
        <v>0</v>
      </c>
      <c r="C22">
        <v>31</v>
      </c>
    </row>
    <row r="23" spans="1:3" x14ac:dyDescent="0.25">
      <c r="A23" s="5">
        <v>4</v>
      </c>
      <c r="B23">
        <v>32.637675527000006</v>
      </c>
      <c r="C23">
        <v>30</v>
      </c>
    </row>
    <row r="24" spans="1:3" x14ac:dyDescent="0.25">
      <c r="A24" s="5">
        <v>5</v>
      </c>
      <c r="B24">
        <v>41.663589055000003</v>
      </c>
      <c r="C24">
        <v>31</v>
      </c>
    </row>
    <row r="25" spans="1:3" x14ac:dyDescent="0.25">
      <c r="A25" s="5">
        <v>6</v>
      </c>
      <c r="B25">
        <v>610.44939981499988</v>
      </c>
      <c r="C25">
        <v>30</v>
      </c>
    </row>
    <row r="26" spans="1:3" x14ac:dyDescent="0.25">
      <c r="A26" s="5">
        <v>7</v>
      </c>
      <c r="B26">
        <v>1076.7193428479998</v>
      </c>
      <c r="C26">
        <v>31</v>
      </c>
    </row>
    <row r="27" spans="1:3" x14ac:dyDescent="0.25">
      <c r="A27" s="5">
        <v>8</v>
      </c>
      <c r="B27">
        <v>1450.6353487019994</v>
      </c>
      <c r="C27">
        <v>31</v>
      </c>
    </row>
    <row r="28" spans="1:3" x14ac:dyDescent="0.25">
      <c r="A28" s="5">
        <v>9</v>
      </c>
      <c r="B28">
        <v>520.47046950899994</v>
      </c>
      <c r="C28">
        <v>30</v>
      </c>
    </row>
    <row r="29" spans="1:3" x14ac:dyDescent="0.25">
      <c r="A29" s="5">
        <v>10</v>
      </c>
      <c r="B29">
        <v>543.82237067100004</v>
      </c>
      <c r="C29">
        <v>31</v>
      </c>
    </row>
    <row r="30" spans="1:3" x14ac:dyDescent="0.25">
      <c r="A30" s="5">
        <v>11</v>
      </c>
      <c r="B30">
        <v>106.62842515</v>
      </c>
      <c r="C30">
        <v>30</v>
      </c>
    </row>
    <row r="31" spans="1:3" x14ac:dyDescent="0.25">
      <c r="A31" s="5">
        <v>12</v>
      </c>
      <c r="B31">
        <v>43.916472402000004</v>
      </c>
      <c r="C31">
        <v>31</v>
      </c>
    </row>
    <row r="32" spans="1:3" x14ac:dyDescent="0.25">
      <c r="A32" s="3" t="s">
        <v>8</v>
      </c>
      <c r="B32">
        <v>1130.3149218159997</v>
      </c>
      <c r="C32">
        <v>365</v>
      </c>
    </row>
    <row r="33" spans="1:3" x14ac:dyDescent="0.25">
      <c r="A33" s="4">
        <v>2019</v>
      </c>
      <c r="B33">
        <v>1130.3149218159997</v>
      </c>
      <c r="C33">
        <v>365</v>
      </c>
    </row>
    <row r="34" spans="1:3" x14ac:dyDescent="0.25">
      <c r="A34" s="5">
        <v>1</v>
      </c>
      <c r="B34">
        <v>0.34661178999999998</v>
      </c>
      <c r="C34">
        <v>31</v>
      </c>
    </row>
    <row r="35" spans="1:3" x14ac:dyDescent="0.25">
      <c r="A35" s="5">
        <v>2</v>
      </c>
      <c r="B35">
        <v>0</v>
      </c>
      <c r="C35">
        <v>28</v>
      </c>
    </row>
    <row r="36" spans="1:3" x14ac:dyDescent="0.25">
      <c r="A36" s="5">
        <v>3</v>
      </c>
      <c r="B36">
        <v>0</v>
      </c>
      <c r="C36">
        <v>31</v>
      </c>
    </row>
    <row r="37" spans="1:3" x14ac:dyDescent="0.25">
      <c r="A37" s="5">
        <v>4</v>
      </c>
      <c r="B37">
        <v>0.22935670899999999</v>
      </c>
      <c r="C37">
        <v>30</v>
      </c>
    </row>
    <row r="38" spans="1:3" x14ac:dyDescent="0.25">
      <c r="A38" s="5">
        <v>5</v>
      </c>
      <c r="B38">
        <v>13.982447851</v>
      </c>
      <c r="C38">
        <v>31</v>
      </c>
    </row>
    <row r="39" spans="1:3" x14ac:dyDescent="0.25">
      <c r="A39" s="5">
        <v>6</v>
      </c>
      <c r="B39">
        <v>14.047029446</v>
      </c>
      <c r="C39">
        <v>30</v>
      </c>
    </row>
    <row r="40" spans="1:3" x14ac:dyDescent="0.25">
      <c r="A40" s="5">
        <v>7</v>
      </c>
      <c r="B40">
        <v>106.98965048300001</v>
      </c>
      <c r="C40">
        <v>31</v>
      </c>
    </row>
    <row r="41" spans="1:3" x14ac:dyDescent="0.25">
      <c r="A41" s="5">
        <v>8</v>
      </c>
      <c r="B41">
        <v>153.041236892</v>
      </c>
      <c r="C41">
        <v>31</v>
      </c>
    </row>
    <row r="42" spans="1:3" x14ac:dyDescent="0.25">
      <c r="A42" s="5">
        <v>9</v>
      </c>
      <c r="B42">
        <v>141.01450577899999</v>
      </c>
      <c r="C42">
        <v>30</v>
      </c>
    </row>
    <row r="43" spans="1:3" x14ac:dyDescent="0.25">
      <c r="A43" s="5">
        <v>10</v>
      </c>
      <c r="B43">
        <v>238.07444378299999</v>
      </c>
      <c r="C43">
        <v>31</v>
      </c>
    </row>
    <row r="44" spans="1:3" x14ac:dyDescent="0.25">
      <c r="A44" s="5">
        <v>11</v>
      </c>
      <c r="B44">
        <v>216.28457588400002</v>
      </c>
      <c r="C44">
        <v>30</v>
      </c>
    </row>
    <row r="45" spans="1:3" x14ac:dyDescent="0.25">
      <c r="A45" s="5">
        <v>12</v>
      </c>
      <c r="B45">
        <v>246.30506319900002</v>
      </c>
      <c r="C45">
        <v>31</v>
      </c>
    </row>
    <row r="46" spans="1:3" x14ac:dyDescent="0.25">
      <c r="A46" s="3" t="s">
        <v>10</v>
      </c>
      <c r="B46">
        <v>1153.733874495</v>
      </c>
      <c r="C46">
        <v>365</v>
      </c>
    </row>
    <row r="47" spans="1:3" x14ac:dyDescent="0.25">
      <c r="A47" s="4">
        <v>2019</v>
      </c>
      <c r="B47">
        <v>1153.733874495</v>
      </c>
      <c r="C47">
        <v>365</v>
      </c>
    </row>
    <row r="48" spans="1:3" x14ac:dyDescent="0.25">
      <c r="A48" s="5">
        <v>1</v>
      </c>
      <c r="B48">
        <v>4.8676037790000004</v>
      </c>
      <c r="C48">
        <v>31</v>
      </c>
    </row>
    <row r="49" spans="1:3" x14ac:dyDescent="0.25">
      <c r="A49" s="5">
        <v>2</v>
      </c>
      <c r="B49">
        <v>0</v>
      </c>
      <c r="C49">
        <v>28</v>
      </c>
    </row>
    <row r="50" spans="1:3" x14ac:dyDescent="0.25">
      <c r="A50" s="5">
        <v>3</v>
      </c>
      <c r="B50">
        <v>17.475863099999998</v>
      </c>
      <c r="C50">
        <v>31</v>
      </c>
    </row>
    <row r="51" spans="1:3" x14ac:dyDescent="0.25">
      <c r="A51" s="5">
        <v>4</v>
      </c>
      <c r="B51">
        <v>56.234339715999994</v>
      </c>
      <c r="C51">
        <v>30</v>
      </c>
    </row>
    <row r="52" spans="1:3" x14ac:dyDescent="0.25">
      <c r="A52" s="5">
        <v>5</v>
      </c>
      <c r="B52">
        <v>47.968110658000001</v>
      </c>
      <c r="C52">
        <v>31</v>
      </c>
    </row>
    <row r="53" spans="1:3" x14ac:dyDescent="0.25">
      <c r="A53" s="5">
        <v>6</v>
      </c>
      <c r="B53">
        <v>102.87549728099999</v>
      </c>
      <c r="C53">
        <v>30</v>
      </c>
    </row>
    <row r="54" spans="1:3" x14ac:dyDescent="0.25">
      <c r="A54" s="5">
        <v>7</v>
      </c>
      <c r="B54">
        <v>224.05075443200002</v>
      </c>
      <c r="C54">
        <v>31</v>
      </c>
    </row>
    <row r="55" spans="1:3" x14ac:dyDescent="0.25">
      <c r="A55" s="5">
        <v>8</v>
      </c>
      <c r="B55">
        <v>258.95740243900002</v>
      </c>
      <c r="C55">
        <v>31</v>
      </c>
    </row>
    <row r="56" spans="1:3" x14ac:dyDescent="0.25">
      <c r="A56" s="5">
        <v>9</v>
      </c>
      <c r="B56">
        <v>217.63690120800004</v>
      </c>
      <c r="C56">
        <v>30</v>
      </c>
    </row>
    <row r="57" spans="1:3" x14ac:dyDescent="0.25">
      <c r="A57" s="5">
        <v>10</v>
      </c>
      <c r="B57">
        <v>213.04490292300005</v>
      </c>
      <c r="C57">
        <v>31</v>
      </c>
    </row>
    <row r="58" spans="1:3" x14ac:dyDescent="0.25">
      <c r="A58" s="5">
        <v>11</v>
      </c>
      <c r="B58">
        <v>10.345064163</v>
      </c>
      <c r="C58">
        <v>30</v>
      </c>
    </row>
    <row r="59" spans="1:3" x14ac:dyDescent="0.25">
      <c r="A59" s="5">
        <v>12</v>
      </c>
      <c r="B59">
        <v>0.27743479599999998</v>
      </c>
      <c r="C59">
        <v>31</v>
      </c>
    </row>
    <row r="60" spans="1:3" x14ac:dyDescent="0.25">
      <c r="A60" s="3" t="s">
        <v>72</v>
      </c>
      <c r="B60">
        <v>8095.2163008900061</v>
      </c>
      <c r="C60">
        <v>1460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01A1-2F12-4F4A-9AD4-1ACEACBCF991}">
  <dimension ref="A1:G1461"/>
  <sheetViews>
    <sheetView topLeftCell="A1439" workbookViewId="0">
      <selection activeCell="A581" sqref="A1:A104857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43747</v>
      </c>
      <c r="D2">
        <v>2019</v>
      </c>
      <c r="E2">
        <v>10</v>
      </c>
      <c r="F2">
        <v>0</v>
      </c>
      <c r="G2" t="s">
        <v>9</v>
      </c>
    </row>
    <row r="3" spans="1:7" x14ac:dyDescent="0.25">
      <c r="A3" t="s">
        <v>7</v>
      </c>
      <c r="B3" t="s">
        <v>8</v>
      </c>
      <c r="C3" s="1">
        <v>43748</v>
      </c>
      <c r="D3">
        <v>2019</v>
      </c>
      <c r="E3">
        <v>10</v>
      </c>
      <c r="F3">
        <v>0</v>
      </c>
      <c r="G3" t="s">
        <v>9</v>
      </c>
    </row>
    <row r="4" spans="1:7" x14ac:dyDescent="0.25">
      <c r="A4" t="s">
        <v>7</v>
      </c>
      <c r="B4" t="s">
        <v>8</v>
      </c>
      <c r="C4" s="1">
        <v>43754</v>
      </c>
      <c r="D4">
        <v>2019</v>
      </c>
      <c r="E4">
        <v>10</v>
      </c>
      <c r="F4">
        <v>8.3884454949999991</v>
      </c>
      <c r="G4" t="s">
        <v>9</v>
      </c>
    </row>
    <row r="5" spans="1:7" x14ac:dyDescent="0.25">
      <c r="A5" t="s">
        <v>7</v>
      </c>
      <c r="B5" t="s">
        <v>8</v>
      </c>
      <c r="C5" s="1">
        <v>43764</v>
      </c>
      <c r="D5">
        <v>2019</v>
      </c>
      <c r="E5">
        <v>10</v>
      </c>
      <c r="F5">
        <v>1.6941763999999999</v>
      </c>
      <c r="G5" t="s">
        <v>9</v>
      </c>
    </row>
    <row r="6" spans="1:7" x14ac:dyDescent="0.25">
      <c r="A6" t="s">
        <v>7</v>
      </c>
      <c r="B6" t="s">
        <v>8</v>
      </c>
      <c r="C6" s="1">
        <v>43771</v>
      </c>
      <c r="D6">
        <v>2019</v>
      </c>
      <c r="E6">
        <v>11</v>
      </c>
      <c r="F6">
        <v>2.901784E-2</v>
      </c>
      <c r="G6" t="s">
        <v>9</v>
      </c>
    </row>
    <row r="7" spans="1:7" x14ac:dyDescent="0.25">
      <c r="A7" t="s">
        <v>7</v>
      </c>
      <c r="B7" t="s">
        <v>8</v>
      </c>
      <c r="C7" s="1">
        <v>43773</v>
      </c>
      <c r="D7">
        <v>2019</v>
      </c>
      <c r="E7">
        <v>11</v>
      </c>
      <c r="F7">
        <v>1.7113085E-2</v>
      </c>
      <c r="G7" t="s">
        <v>9</v>
      </c>
    </row>
    <row r="8" spans="1:7" x14ac:dyDescent="0.25">
      <c r="A8" t="s">
        <v>7</v>
      </c>
      <c r="B8" t="s">
        <v>8</v>
      </c>
      <c r="C8" s="1">
        <v>43789</v>
      </c>
      <c r="D8">
        <v>2019</v>
      </c>
      <c r="E8">
        <v>11</v>
      </c>
      <c r="F8">
        <v>12.058278980000001</v>
      </c>
      <c r="G8" t="s">
        <v>9</v>
      </c>
    </row>
    <row r="9" spans="1:7" x14ac:dyDescent="0.25">
      <c r="A9" t="s">
        <v>7</v>
      </c>
      <c r="B9" t="s">
        <v>8</v>
      </c>
      <c r="C9" s="1">
        <v>43796</v>
      </c>
      <c r="D9">
        <v>2019</v>
      </c>
      <c r="E9">
        <v>11</v>
      </c>
      <c r="F9">
        <v>28.054364419999999</v>
      </c>
      <c r="G9" t="s">
        <v>9</v>
      </c>
    </row>
    <row r="10" spans="1:7" x14ac:dyDescent="0.25">
      <c r="A10" t="s">
        <v>7</v>
      </c>
      <c r="B10" t="s">
        <v>8</v>
      </c>
      <c r="C10" s="1">
        <v>43798</v>
      </c>
      <c r="D10">
        <v>2019</v>
      </c>
      <c r="E10">
        <v>11</v>
      </c>
      <c r="F10">
        <v>14.34462847</v>
      </c>
      <c r="G10" t="s">
        <v>9</v>
      </c>
    </row>
    <row r="11" spans="1:7" x14ac:dyDescent="0.25">
      <c r="A11" t="s">
        <v>7</v>
      </c>
      <c r="B11" t="s">
        <v>8</v>
      </c>
      <c r="C11" s="1">
        <v>43799</v>
      </c>
      <c r="D11">
        <v>2019</v>
      </c>
      <c r="E11">
        <v>11</v>
      </c>
      <c r="F11">
        <v>17.91025977</v>
      </c>
      <c r="G11" t="s">
        <v>9</v>
      </c>
    </row>
    <row r="12" spans="1:7" x14ac:dyDescent="0.25">
      <c r="A12" t="s">
        <v>7</v>
      </c>
      <c r="B12" t="s">
        <v>8</v>
      </c>
      <c r="C12" s="1">
        <v>43809</v>
      </c>
      <c r="D12">
        <v>2019</v>
      </c>
      <c r="E12">
        <v>12</v>
      </c>
      <c r="F12">
        <v>0</v>
      </c>
      <c r="G12" t="s">
        <v>9</v>
      </c>
    </row>
    <row r="13" spans="1:7" x14ac:dyDescent="0.25">
      <c r="A13" t="s">
        <v>7</v>
      </c>
      <c r="B13" t="s">
        <v>8</v>
      </c>
      <c r="C13" s="1">
        <v>43819</v>
      </c>
      <c r="D13">
        <v>2019</v>
      </c>
      <c r="E13">
        <v>12</v>
      </c>
      <c r="F13">
        <v>0</v>
      </c>
      <c r="G13" t="s">
        <v>9</v>
      </c>
    </row>
    <row r="14" spans="1:7" x14ac:dyDescent="0.25">
      <c r="A14" t="s">
        <v>7</v>
      </c>
      <c r="B14" t="s">
        <v>8</v>
      </c>
      <c r="C14" s="1">
        <v>43820</v>
      </c>
      <c r="D14">
        <v>2019</v>
      </c>
      <c r="E14">
        <v>12</v>
      </c>
      <c r="F14">
        <v>0</v>
      </c>
      <c r="G14" t="s">
        <v>9</v>
      </c>
    </row>
    <row r="15" spans="1:7" x14ac:dyDescent="0.25">
      <c r="A15" t="s">
        <v>7</v>
      </c>
      <c r="B15" t="s">
        <v>8</v>
      </c>
      <c r="C15" s="1">
        <v>43822</v>
      </c>
      <c r="D15">
        <v>2019</v>
      </c>
      <c r="E15">
        <v>12</v>
      </c>
      <c r="F15">
        <v>0</v>
      </c>
      <c r="G15" t="s">
        <v>9</v>
      </c>
    </row>
    <row r="16" spans="1:7" x14ac:dyDescent="0.25">
      <c r="A16" t="s">
        <v>7</v>
      </c>
      <c r="B16" t="s">
        <v>8</v>
      </c>
      <c r="C16" s="1">
        <v>43823</v>
      </c>
      <c r="D16">
        <v>2019</v>
      </c>
      <c r="E16">
        <v>12</v>
      </c>
      <c r="F16">
        <v>0.34076183700000001</v>
      </c>
      <c r="G16" t="s">
        <v>9</v>
      </c>
    </row>
    <row r="17" spans="1:7" x14ac:dyDescent="0.25">
      <c r="A17" t="s">
        <v>7</v>
      </c>
      <c r="B17" t="s">
        <v>8</v>
      </c>
      <c r="C17" s="1">
        <v>43827</v>
      </c>
      <c r="D17">
        <v>2019</v>
      </c>
      <c r="E17">
        <v>12</v>
      </c>
      <c r="F17">
        <v>0</v>
      </c>
      <c r="G17" t="s">
        <v>9</v>
      </c>
    </row>
    <row r="18" spans="1:7" x14ac:dyDescent="0.25">
      <c r="A18" t="s">
        <v>7</v>
      </c>
      <c r="B18" t="s">
        <v>8</v>
      </c>
      <c r="C18" s="1">
        <v>43533</v>
      </c>
      <c r="D18">
        <v>2019</v>
      </c>
      <c r="E18">
        <v>3</v>
      </c>
      <c r="F18">
        <v>0</v>
      </c>
      <c r="G18" t="s">
        <v>9</v>
      </c>
    </row>
    <row r="19" spans="1:7" x14ac:dyDescent="0.25">
      <c r="A19" t="s">
        <v>7</v>
      </c>
      <c r="B19" t="s">
        <v>8</v>
      </c>
      <c r="C19" s="1">
        <v>43644</v>
      </c>
      <c r="D19">
        <v>2019</v>
      </c>
      <c r="E19">
        <v>6</v>
      </c>
      <c r="F19">
        <v>0</v>
      </c>
      <c r="G19" t="s">
        <v>9</v>
      </c>
    </row>
    <row r="20" spans="1:7" x14ac:dyDescent="0.25">
      <c r="A20" t="s">
        <v>7</v>
      </c>
      <c r="B20" t="s">
        <v>8</v>
      </c>
      <c r="C20" s="1">
        <v>43689</v>
      </c>
      <c r="D20">
        <v>2019</v>
      </c>
      <c r="E20">
        <v>8</v>
      </c>
      <c r="F20">
        <v>0</v>
      </c>
      <c r="G20" t="s">
        <v>9</v>
      </c>
    </row>
    <row r="21" spans="1:7" x14ac:dyDescent="0.25">
      <c r="A21" t="s">
        <v>7</v>
      </c>
      <c r="B21" t="s">
        <v>8</v>
      </c>
      <c r="C21" s="1">
        <v>43712</v>
      </c>
      <c r="D21">
        <v>2019</v>
      </c>
      <c r="E21">
        <v>9</v>
      </c>
      <c r="F21">
        <v>5.9286709450000004</v>
      </c>
      <c r="G21" t="s">
        <v>9</v>
      </c>
    </row>
    <row r="22" spans="1:7" x14ac:dyDescent="0.25">
      <c r="A22" t="s">
        <v>7</v>
      </c>
      <c r="B22" t="s">
        <v>8</v>
      </c>
      <c r="C22" s="1">
        <v>43774</v>
      </c>
      <c r="D22">
        <v>2019</v>
      </c>
      <c r="E22">
        <v>11</v>
      </c>
      <c r="F22">
        <v>0</v>
      </c>
      <c r="G22" t="s">
        <v>9</v>
      </c>
    </row>
    <row r="23" spans="1:7" x14ac:dyDescent="0.25">
      <c r="A23" t="s">
        <v>7</v>
      </c>
      <c r="B23" t="s">
        <v>10</v>
      </c>
      <c r="C23" s="1">
        <v>43467</v>
      </c>
      <c r="D23">
        <v>2019</v>
      </c>
      <c r="E23">
        <v>1</v>
      </c>
      <c r="F23">
        <v>0</v>
      </c>
      <c r="G23" t="s">
        <v>9</v>
      </c>
    </row>
    <row r="24" spans="1:7" x14ac:dyDescent="0.25">
      <c r="A24" t="s">
        <v>7</v>
      </c>
      <c r="B24" t="s">
        <v>10</v>
      </c>
      <c r="C24" s="1">
        <v>43482</v>
      </c>
      <c r="D24">
        <v>2019</v>
      </c>
      <c r="E24">
        <v>1</v>
      </c>
      <c r="F24">
        <v>0</v>
      </c>
      <c r="G24" t="s">
        <v>9</v>
      </c>
    </row>
    <row r="25" spans="1:7" x14ac:dyDescent="0.25">
      <c r="A25" t="s">
        <v>7</v>
      </c>
      <c r="B25" t="s">
        <v>10</v>
      </c>
      <c r="C25" s="1">
        <v>43485</v>
      </c>
      <c r="D25">
        <v>2019</v>
      </c>
      <c r="E25">
        <v>1</v>
      </c>
      <c r="F25">
        <v>0</v>
      </c>
      <c r="G25" t="s">
        <v>9</v>
      </c>
    </row>
    <row r="26" spans="1:7" x14ac:dyDescent="0.25">
      <c r="A26" t="s">
        <v>7</v>
      </c>
      <c r="B26" t="s">
        <v>10</v>
      </c>
      <c r="C26" s="1">
        <v>43489</v>
      </c>
      <c r="D26">
        <v>2019</v>
      </c>
      <c r="E26">
        <v>1</v>
      </c>
      <c r="F26">
        <v>0</v>
      </c>
      <c r="G26" t="s">
        <v>9</v>
      </c>
    </row>
    <row r="27" spans="1:7" x14ac:dyDescent="0.25">
      <c r="A27" t="s">
        <v>7</v>
      </c>
      <c r="B27" t="s">
        <v>10</v>
      </c>
      <c r="C27" s="1">
        <v>43495</v>
      </c>
      <c r="D27">
        <v>2019</v>
      </c>
      <c r="E27">
        <v>1</v>
      </c>
      <c r="F27">
        <v>0</v>
      </c>
      <c r="G27" t="s">
        <v>9</v>
      </c>
    </row>
    <row r="28" spans="1:7" x14ac:dyDescent="0.25">
      <c r="A28" t="s">
        <v>7</v>
      </c>
      <c r="B28" t="s">
        <v>10</v>
      </c>
      <c r="C28" s="1">
        <v>43496</v>
      </c>
      <c r="D28">
        <v>2019</v>
      </c>
      <c r="E28">
        <v>1</v>
      </c>
      <c r="F28">
        <v>0</v>
      </c>
      <c r="G28" t="s">
        <v>9</v>
      </c>
    </row>
    <row r="29" spans="1:7" x14ac:dyDescent="0.25">
      <c r="A29" t="s">
        <v>7</v>
      </c>
      <c r="B29" t="s">
        <v>10</v>
      </c>
      <c r="C29" s="1">
        <v>43499</v>
      </c>
      <c r="D29">
        <v>2019</v>
      </c>
      <c r="E29">
        <v>2</v>
      </c>
      <c r="F29">
        <v>0</v>
      </c>
      <c r="G29" t="s">
        <v>9</v>
      </c>
    </row>
    <row r="30" spans="1:7" x14ac:dyDescent="0.25">
      <c r="A30" t="s">
        <v>7</v>
      </c>
      <c r="B30" t="s">
        <v>10</v>
      </c>
      <c r="C30" s="1">
        <v>43503</v>
      </c>
      <c r="D30">
        <v>2019</v>
      </c>
      <c r="E30">
        <v>2</v>
      </c>
      <c r="F30">
        <v>0</v>
      </c>
      <c r="G30" t="s">
        <v>9</v>
      </c>
    </row>
    <row r="31" spans="1:7" x14ac:dyDescent="0.25">
      <c r="A31" t="s">
        <v>7</v>
      </c>
      <c r="B31" t="s">
        <v>10</v>
      </c>
      <c r="C31" s="1">
        <v>43513</v>
      </c>
      <c r="D31">
        <v>2019</v>
      </c>
      <c r="E31">
        <v>2</v>
      </c>
      <c r="F31">
        <v>0</v>
      </c>
      <c r="G31" t="s">
        <v>9</v>
      </c>
    </row>
    <row r="32" spans="1:7" x14ac:dyDescent="0.25">
      <c r="A32" t="s">
        <v>7</v>
      </c>
      <c r="B32" t="s">
        <v>10</v>
      </c>
      <c r="C32" s="1">
        <v>43514</v>
      </c>
      <c r="D32">
        <v>2019</v>
      </c>
      <c r="E32">
        <v>2</v>
      </c>
      <c r="F32">
        <v>0</v>
      </c>
      <c r="G32" t="s">
        <v>9</v>
      </c>
    </row>
    <row r="33" spans="1:7" x14ac:dyDescent="0.25">
      <c r="A33" t="s">
        <v>7</v>
      </c>
      <c r="B33" t="s">
        <v>10</v>
      </c>
      <c r="C33" s="1">
        <v>43515</v>
      </c>
      <c r="D33">
        <v>2019</v>
      </c>
      <c r="E33">
        <v>2</v>
      </c>
      <c r="F33">
        <v>0</v>
      </c>
      <c r="G33" t="s">
        <v>9</v>
      </c>
    </row>
    <row r="34" spans="1:7" x14ac:dyDescent="0.25">
      <c r="A34" t="s">
        <v>7</v>
      </c>
      <c r="B34" t="s">
        <v>10</v>
      </c>
      <c r="C34" s="1">
        <v>43518</v>
      </c>
      <c r="D34">
        <v>2019</v>
      </c>
      <c r="E34">
        <v>2</v>
      </c>
      <c r="F34">
        <v>0</v>
      </c>
      <c r="G34" t="s">
        <v>9</v>
      </c>
    </row>
    <row r="35" spans="1:7" x14ac:dyDescent="0.25">
      <c r="A35" t="s">
        <v>7</v>
      </c>
      <c r="B35" t="s">
        <v>10</v>
      </c>
      <c r="C35" s="1">
        <v>43519</v>
      </c>
      <c r="D35">
        <v>2019</v>
      </c>
      <c r="E35">
        <v>2</v>
      </c>
      <c r="F35">
        <v>0</v>
      </c>
      <c r="G35" t="s">
        <v>9</v>
      </c>
    </row>
    <row r="36" spans="1:7" x14ac:dyDescent="0.25">
      <c r="A36" t="s">
        <v>7</v>
      </c>
      <c r="B36" t="s">
        <v>10</v>
      </c>
      <c r="C36" s="1">
        <v>43524</v>
      </c>
      <c r="D36">
        <v>2019</v>
      </c>
      <c r="E36">
        <v>2</v>
      </c>
      <c r="F36">
        <v>0</v>
      </c>
      <c r="G36" t="s">
        <v>9</v>
      </c>
    </row>
    <row r="37" spans="1:7" x14ac:dyDescent="0.25">
      <c r="A37" t="s">
        <v>7</v>
      </c>
      <c r="B37" t="s">
        <v>10</v>
      </c>
      <c r="C37" s="1">
        <v>43522</v>
      </c>
      <c r="D37">
        <v>2019</v>
      </c>
      <c r="E37">
        <v>2</v>
      </c>
      <c r="F37">
        <v>0</v>
      </c>
      <c r="G37" t="s">
        <v>9</v>
      </c>
    </row>
    <row r="38" spans="1:7" x14ac:dyDescent="0.25">
      <c r="A38" t="s">
        <v>7</v>
      </c>
      <c r="B38" t="s">
        <v>10</v>
      </c>
      <c r="C38" s="1">
        <v>43537</v>
      </c>
      <c r="D38">
        <v>2019</v>
      </c>
      <c r="E38">
        <v>3</v>
      </c>
      <c r="F38">
        <v>0</v>
      </c>
      <c r="G38" t="s">
        <v>9</v>
      </c>
    </row>
    <row r="39" spans="1:7" x14ac:dyDescent="0.25">
      <c r="A39" t="s">
        <v>7</v>
      </c>
      <c r="B39" t="s">
        <v>10</v>
      </c>
      <c r="C39" s="1">
        <v>43540</v>
      </c>
      <c r="D39">
        <v>2019</v>
      </c>
      <c r="E39">
        <v>3</v>
      </c>
      <c r="F39">
        <v>0</v>
      </c>
      <c r="G39" t="s">
        <v>9</v>
      </c>
    </row>
    <row r="40" spans="1:7" x14ac:dyDescent="0.25">
      <c r="A40" t="s">
        <v>7</v>
      </c>
      <c r="B40" t="s">
        <v>10</v>
      </c>
      <c r="C40" s="1">
        <v>43544</v>
      </c>
      <c r="D40">
        <v>2019</v>
      </c>
      <c r="E40">
        <v>3</v>
      </c>
      <c r="F40">
        <v>0</v>
      </c>
      <c r="G40" t="s">
        <v>9</v>
      </c>
    </row>
    <row r="41" spans="1:7" x14ac:dyDescent="0.25">
      <c r="A41" t="s">
        <v>7</v>
      </c>
      <c r="B41" t="s">
        <v>10</v>
      </c>
      <c r="C41" s="1">
        <v>43557</v>
      </c>
      <c r="D41">
        <v>2019</v>
      </c>
      <c r="E41">
        <v>4</v>
      </c>
      <c r="F41">
        <v>0</v>
      </c>
      <c r="G41" t="s">
        <v>9</v>
      </c>
    </row>
    <row r="42" spans="1:7" x14ac:dyDescent="0.25">
      <c r="A42" t="s">
        <v>7</v>
      </c>
      <c r="B42" t="s">
        <v>10</v>
      </c>
      <c r="C42" s="1">
        <v>43562</v>
      </c>
      <c r="D42">
        <v>2019</v>
      </c>
      <c r="E42">
        <v>4</v>
      </c>
      <c r="F42">
        <v>22.058139799999999</v>
      </c>
      <c r="G42" t="s">
        <v>9</v>
      </c>
    </row>
    <row r="43" spans="1:7" x14ac:dyDescent="0.25">
      <c r="A43" t="s">
        <v>7</v>
      </c>
      <c r="B43" t="s">
        <v>10</v>
      </c>
      <c r="C43" s="1">
        <v>43563</v>
      </c>
      <c r="D43">
        <v>2019</v>
      </c>
      <c r="E43">
        <v>4</v>
      </c>
      <c r="F43">
        <v>0</v>
      </c>
      <c r="G43" t="s">
        <v>9</v>
      </c>
    </row>
    <row r="44" spans="1:7" x14ac:dyDescent="0.25">
      <c r="A44" t="s">
        <v>7</v>
      </c>
      <c r="B44" t="s">
        <v>10</v>
      </c>
      <c r="C44" s="1">
        <v>43569</v>
      </c>
      <c r="D44">
        <v>2019</v>
      </c>
      <c r="E44">
        <v>4</v>
      </c>
      <c r="F44">
        <v>0</v>
      </c>
      <c r="G44" t="s">
        <v>9</v>
      </c>
    </row>
    <row r="45" spans="1:7" x14ac:dyDescent="0.25">
      <c r="A45" t="s">
        <v>7</v>
      </c>
      <c r="B45" t="s">
        <v>10</v>
      </c>
      <c r="C45" s="1">
        <v>43588</v>
      </c>
      <c r="D45">
        <v>2019</v>
      </c>
      <c r="E45">
        <v>5</v>
      </c>
      <c r="F45">
        <v>0</v>
      </c>
      <c r="G45" t="s">
        <v>9</v>
      </c>
    </row>
    <row r="46" spans="1:7" x14ac:dyDescent="0.25">
      <c r="A46" t="s">
        <v>7</v>
      </c>
      <c r="B46" t="s">
        <v>10</v>
      </c>
      <c r="C46" s="1">
        <v>43591</v>
      </c>
      <c r="D46">
        <v>2019</v>
      </c>
      <c r="E46">
        <v>5</v>
      </c>
      <c r="F46">
        <v>0</v>
      </c>
      <c r="G46" t="s">
        <v>9</v>
      </c>
    </row>
    <row r="47" spans="1:7" x14ac:dyDescent="0.25">
      <c r="A47" t="s">
        <v>7</v>
      </c>
      <c r="B47" t="s">
        <v>10</v>
      </c>
      <c r="C47" s="1">
        <v>43593</v>
      </c>
      <c r="D47">
        <v>2019</v>
      </c>
      <c r="E47">
        <v>5</v>
      </c>
      <c r="F47">
        <v>3.7355711459999998</v>
      </c>
      <c r="G47" t="s">
        <v>9</v>
      </c>
    </row>
    <row r="48" spans="1:7" x14ac:dyDescent="0.25">
      <c r="A48" t="s">
        <v>7</v>
      </c>
      <c r="B48" t="s">
        <v>10</v>
      </c>
      <c r="C48" s="1">
        <v>43595</v>
      </c>
      <c r="D48">
        <v>2019</v>
      </c>
      <c r="E48">
        <v>5</v>
      </c>
      <c r="F48">
        <v>0</v>
      </c>
      <c r="G48" t="s">
        <v>9</v>
      </c>
    </row>
    <row r="49" spans="1:7" x14ac:dyDescent="0.25">
      <c r="A49" t="s">
        <v>7</v>
      </c>
      <c r="B49" t="s">
        <v>10</v>
      </c>
      <c r="C49" s="1">
        <v>43601</v>
      </c>
      <c r="D49">
        <v>2019</v>
      </c>
      <c r="E49">
        <v>5</v>
      </c>
      <c r="F49">
        <v>7.2376689909999996</v>
      </c>
      <c r="G49" t="s">
        <v>9</v>
      </c>
    </row>
    <row r="50" spans="1:7" x14ac:dyDescent="0.25">
      <c r="A50" t="s">
        <v>7</v>
      </c>
      <c r="B50" t="s">
        <v>10</v>
      </c>
      <c r="C50" s="1">
        <v>43611</v>
      </c>
      <c r="D50">
        <v>2019</v>
      </c>
      <c r="E50">
        <v>5</v>
      </c>
      <c r="F50">
        <v>0</v>
      </c>
      <c r="G50" t="s">
        <v>9</v>
      </c>
    </row>
    <row r="51" spans="1:7" x14ac:dyDescent="0.25">
      <c r="A51" t="s">
        <v>7</v>
      </c>
      <c r="B51" t="s">
        <v>10</v>
      </c>
      <c r="C51" s="1">
        <v>43613</v>
      </c>
      <c r="D51">
        <v>2019</v>
      </c>
      <c r="E51">
        <v>5</v>
      </c>
      <c r="F51">
        <v>9.6891384120000001</v>
      </c>
      <c r="G51" t="s">
        <v>9</v>
      </c>
    </row>
    <row r="52" spans="1:7" x14ac:dyDescent="0.25">
      <c r="A52" t="s">
        <v>7</v>
      </c>
      <c r="B52" t="s">
        <v>10</v>
      </c>
      <c r="C52" s="1">
        <v>43617</v>
      </c>
      <c r="D52">
        <v>2019</v>
      </c>
      <c r="E52">
        <v>6</v>
      </c>
      <c r="F52">
        <v>0</v>
      </c>
      <c r="G52" t="s">
        <v>9</v>
      </c>
    </row>
    <row r="53" spans="1:7" x14ac:dyDescent="0.25">
      <c r="A53" t="s">
        <v>7</v>
      </c>
      <c r="B53" t="s">
        <v>10</v>
      </c>
      <c r="C53" s="1">
        <v>43623</v>
      </c>
      <c r="D53">
        <v>2019</v>
      </c>
      <c r="E53">
        <v>6</v>
      </c>
      <c r="F53">
        <v>14.3156929</v>
      </c>
      <c r="G53" t="s">
        <v>9</v>
      </c>
    </row>
    <row r="54" spans="1:7" x14ac:dyDescent="0.25">
      <c r="A54" t="s">
        <v>7</v>
      </c>
      <c r="B54" t="s">
        <v>10</v>
      </c>
      <c r="C54" s="1">
        <v>43624</v>
      </c>
      <c r="D54">
        <v>2019</v>
      </c>
      <c r="E54">
        <v>6</v>
      </c>
      <c r="F54">
        <v>0</v>
      </c>
      <c r="G54" t="s">
        <v>9</v>
      </c>
    </row>
    <row r="55" spans="1:7" x14ac:dyDescent="0.25">
      <c r="A55" t="s">
        <v>7</v>
      </c>
      <c r="B55" t="s">
        <v>10</v>
      </c>
      <c r="C55" s="1">
        <v>43632</v>
      </c>
      <c r="D55">
        <v>2019</v>
      </c>
      <c r="E55">
        <v>6</v>
      </c>
      <c r="F55">
        <v>0</v>
      </c>
      <c r="G55" t="s">
        <v>9</v>
      </c>
    </row>
    <row r="56" spans="1:7" x14ac:dyDescent="0.25">
      <c r="A56" t="s">
        <v>7</v>
      </c>
      <c r="B56" t="s">
        <v>10</v>
      </c>
      <c r="C56" s="1">
        <v>43640</v>
      </c>
      <c r="D56">
        <v>2019</v>
      </c>
      <c r="E56">
        <v>6</v>
      </c>
      <c r="F56">
        <v>3.9378695490000002</v>
      </c>
      <c r="G56" t="s">
        <v>9</v>
      </c>
    </row>
    <row r="57" spans="1:7" x14ac:dyDescent="0.25">
      <c r="A57" t="s">
        <v>7</v>
      </c>
      <c r="B57" t="s">
        <v>10</v>
      </c>
      <c r="C57" s="1">
        <v>43641</v>
      </c>
      <c r="D57">
        <v>2019</v>
      </c>
      <c r="E57">
        <v>6</v>
      </c>
      <c r="F57">
        <v>13.342579840000001</v>
      </c>
      <c r="G57" t="s">
        <v>9</v>
      </c>
    </row>
    <row r="58" spans="1:7" x14ac:dyDescent="0.25">
      <c r="A58" t="s">
        <v>7</v>
      </c>
      <c r="B58" t="s">
        <v>10</v>
      </c>
      <c r="C58" s="1">
        <v>43644</v>
      </c>
      <c r="D58">
        <v>2019</v>
      </c>
      <c r="E58">
        <v>6</v>
      </c>
      <c r="F58">
        <v>0</v>
      </c>
      <c r="G58" t="s">
        <v>9</v>
      </c>
    </row>
    <row r="59" spans="1:7" x14ac:dyDescent="0.25">
      <c r="A59" t="s">
        <v>7</v>
      </c>
      <c r="B59" t="s">
        <v>10</v>
      </c>
      <c r="C59" s="1">
        <v>43648</v>
      </c>
      <c r="D59">
        <v>2019</v>
      </c>
      <c r="E59">
        <v>7</v>
      </c>
      <c r="F59">
        <v>0.92119419599999997</v>
      </c>
      <c r="G59" t="s">
        <v>9</v>
      </c>
    </row>
    <row r="60" spans="1:7" x14ac:dyDescent="0.25">
      <c r="A60" t="s">
        <v>7</v>
      </c>
      <c r="B60" t="s">
        <v>10</v>
      </c>
      <c r="C60" s="1">
        <v>43650</v>
      </c>
      <c r="D60">
        <v>2019</v>
      </c>
      <c r="E60">
        <v>7</v>
      </c>
      <c r="F60">
        <v>1.40083921</v>
      </c>
      <c r="G60" t="s">
        <v>9</v>
      </c>
    </row>
    <row r="61" spans="1:7" x14ac:dyDescent="0.25">
      <c r="A61" t="s">
        <v>7</v>
      </c>
      <c r="B61" t="s">
        <v>10</v>
      </c>
      <c r="C61" s="1">
        <v>43651</v>
      </c>
      <c r="D61">
        <v>2019</v>
      </c>
      <c r="E61">
        <v>7</v>
      </c>
      <c r="F61">
        <v>2.1791501050000002</v>
      </c>
      <c r="G61" t="s">
        <v>9</v>
      </c>
    </row>
    <row r="62" spans="1:7" x14ac:dyDescent="0.25">
      <c r="A62" t="s">
        <v>7</v>
      </c>
      <c r="B62" t="s">
        <v>10</v>
      </c>
      <c r="C62" s="1">
        <v>43655</v>
      </c>
      <c r="D62">
        <v>2019</v>
      </c>
      <c r="E62">
        <v>7</v>
      </c>
      <c r="F62">
        <v>8.5629405980000008</v>
      </c>
      <c r="G62" t="s">
        <v>9</v>
      </c>
    </row>
    <row r="63" spans="1:7" x14ac:dyDescent="0.25">
      <c r="A63" t="s">
        <v>7</v>
      </c>
      <c r="B63" t="s">
        <v>10</v>
      </c>
      <c r="C63" s="1">
        <v>43659</v>
      </c>
      <c r="D63">
        <v>2019</v>
      </c>
      <c r="E63">
        <v>7</v>
      </c>
      <c r="F63">
        <v>0</v>
      </c>
      <c r="G63" t="s">
        <v>9</v>
      </c>
    </row>
    <row r="64" spans="1:7" x14ac:dyDescent="0.25">
      <c r="A64" t="s">
        <v>7</v>
      </c>
      <c r="B64" t="s">
        <v>10</v>
      </c>
      <c r="C64" s="1">
        <v>43665</v>
      </c>
      <c r="D64">
        <v>2019</v>
      </c>
      <c r="E64">
        <v>7</v>
      </c>
      <c r="F64">
        <v>0.82814651699999997</v>
      </c>
      <c r="G64" t="s">
        <v>9</v>
      </c>
    </row>
    <row r="65" spans="1:7" x14ac:dyDescent="0.25">
      <c r="A65" t="s">
        <v>7</v>
      </c>
      <c r="B65" t="s">
        <v>10</v>
      </c>
      <c r="C65" s="1">
        <v>43666</v>
      </c>
      <c r="D65">
        <v>2019</v>
      </c>
      <c r="E65">
        <v>7</v>
      </c>
      <c r="F65">
        <v>6.9275650979999996</v>
      </c>
      <c r="G65" t="s">
        <v>9</v>
      </c>
    </row>
    <row r="66" spans="1:7" x14ac:dyDescent="0.25">
      <c r="A66" t="s">
        <v>7</v>
      </c>
      <c r="B66" t="s">
        <v>10</v>
      </c>
      <c r="C66" s="1">
        <v>43668</v>
      </c>
      <c r="D66">
        <v>2019</v>
      </c>
      <c r="E66">
        <v>7</v>
      </c>
      <c r="F66">
        <v>0</v>
      </c>
      <c r="G66" t="s">
        <v>9</v>
      </c>
    </row>
    <row r="67" spans="1:7" x14ac:dyDescent="0.25">
      <c r="A67" t="s">
        <v>7</v>
      </c>
      <c r="B67" t="s">
        <v>10</v>
      </c>
      <c r="C67" s="1">
        <v>43670</v>
      </c>
      <c r="D67">
        <v>2019</v>
      </c>
      <c r="E67">
        <v>7</v>
      </c>
      <c r="F67">
        <v>1.8677855729999999</v>
      </c>
      <c r="G67" t="s">
        <v>9</v>
      </c>
    </row>
    <row r="68" spans="1:7" x14ac:dyDescent="0.25">
      <c r="A68" t="s">
        <v>7</v>
      </c>
      <c r="B68" t="s">
        <v>10</v>
      </c>
      <c r="C68" s="1">
        <v>43671</v>
      </c>
      <c r="D68">
        <v>2019</v>
      </c>
      <c r="E68">
        <v>7</v>
      </c>
      <c r="F68">
        <v>3.4054086209999999</v>
      </c>
      <c r="G68" t="s">
        <v>9</v>
      </c>
    </row>
    <row r="69" spans="1:7" x14ac:dyDescent="0.25">
      <c r="A69" t="s">
        <v>7</v>
      </c>
      <c r="B69" t="s">
        <v>10</v>
      </c>
      <c r="C69" s="1">
        <v>43673</v>
      </c>
      <c r="D69">
        <v>2019</v>
      </c>
      <c r="E69">
        <v>7</v>
      </c>
      <c r="F69">
        <v>25.54196739</v>
      </c>
      <c r="G69" t="s">
        <v>9</v>
      </c>
    </row>
    <row r="70" spans="1:7" x14ac:dyDescent="0.25">
      <c r="A70" t="s">
        <v>7</v>
      </c>
      <c r="B70" t="s">
        <v>10</v>
      </c>
      <c r="C70" s="1">
        <v>43677</v>
      </c>
      <c r="D70">
        <v>2019</v>
      </c>
      <c r="E70">
        <v>7</v>
      </c>
      <c r="F70">
        <v>2.3931002619999999</v>
      </c>
      <c r="G70" t="s">
        <v>9</v>
      </c>
    </row>
    <row r="71" spans="1:7" x14ac:dyDescent="0.25">
      <c r="A71" t="s">
        <v>7</v>
      </c>
      <c r="B71" t="s">
        <v>10</v>
      </c>
      <c r="C71" s="1">
        <v>43680</v>
      </c>
      <c r="D71">
        <v>2019</v>
      </c>
      <c r="E71">
        <v>8</v>
      </c>
      <c r="F71">
        <v>25.499456410000001</v>
      </c>
      <c r="G71" t="s">
        <v>9</v>
      </c>
    </row>
    <row r="72" spans="1:7" x14ac:dyDescent="0.25">
      <c r="A72" t="s">
        <v>7</v>
      </c>
      <c r="B72" t="s">
        <v>10</v>
      </c>
      <c r="C72" s="1">
        <v>43683</v>
      </c>
      <c r="D72">
        <v>2019</v>
      </c>
      <c r="E72">
        <v>8</v>
      </c>
      <c r="F72">
        <v>9.0058860779999996</v>
      </c>
      <c r="G72" t="s">
        <v>9</v>
      </c>
    </row>
    <row r="73" spans="1:7" x14ac:dyDescent="0.25">
      <c r="A73" t="s">
        <v>7</v>
      </c>
      <c r="B73" t="s">
        <v>10</v>
      </c>
      <c r="C73" s="1">
        <v>43687</v>
      </c>
      <c r="D73">
        <v>2019</v>
      </c>
      <c r="E73">
        <v>8</v>
      </c>
      <c r="F73">
        <v>1.40083921</v>
      </c>
      <c r="G73" t="s">
        <v>9</v>
      </c>
    </row>
    <row r="74" spans="1:7" x14ac:dyDescent="0.25">
      <c r="A74" t="s">
        <v>7</v>
      </c>
      <c r="B74" t="s">
        <v>10</v>
      </c>
      <c r="C74" s="1">
        <v>43689</v>
      </c>
      <c r="D74">
        <v>2019</v>
      </c>
      <c r="E74">
        <v>8</v>
      </c>
      <c r="F74">
        <v>0</v>
      </c>
      <c r="G74" t="s">
        <v>9</v>
      </c>
    </row>
    <row r="75" spans="1:7" x14ac:dyDescent="0.25">
      <c r="A75" t="s">
        <v>7</v>
      </c>
      <c r="B75" t="s">
        <v>10</v>
      </c>
      <c r="C75" s="1">
        <v>43694</v>
      </c>
      <c r="D75">
        <v>2019</v>
      </c>
      <c r="E75">
        <v>8</v>
      </c>
      <c r="F75">
        <v>0</v>
      </c>
      <c r="G75" t="s">
        <v>9</v>
      </c>
    </row>
    <row r="76" spans="1:7" x14ac:dyDescent="0.25">
      <c r="A76" t="s">
        <v>7</v>
      </c>
      <c r="B76" t="s">
        <v>10</v>
      </c>
      <c r="C76" s="1">
        <v>43696</v>
      </c>
      <c r="D76">
        <v>2019</v>
      </c>
      <c r="E76">
        <v>8</v>
      </c>
      <c r="F76">
        <v>14.83800125</v>
      </c>
      <c r="G76" t="s">
        <v>9</v>
      </c>
    </row>
    <row r="77" spans="1:7" x14ac:dyDescent="0.25">
      <c r="A77" t="s">
        <v>7</v>
      </c>
      <c r="B77" t="s">
        <v>10</v>
      </c>
      <c r="C77" s="1">
        <v>43701</v>
      </c>
      <c r="D77">
        <v>2019</v>
      </c>
      <c r="E77">
        <v>8</v>
      </c>
      <c r="F77">
        <v>8.587625504</v>
      </c>
      <c r="G77" t="s">
        <v>9</v>
      </c>
    </row>
    <row r="78" spans="1:7" x14ac:dyDescent="0.25">
      <c r="A78" t="s">
        <v>7</v>
      </c>
      <c r="B78" t="s">
        <v>10</v>
      </c>
      <c r="C78" s="1">
        <v>43704</v>
      </c>
      <c r="D78">
        <v>2019</v>
      </c>
      <c r="E78">
        <v>8</v>
      </c>
      <c r="F78">
        <v>0</v>
      </c>
      <c r="G78" t="s">
        <v>9</v>
      </c>
    </row>
    <row r="79" spans="1:7" x14ac:dyDescent="0.25">
      <c r="A79" t="s">
        <v>7</v>
      </c>
      <c r="B79" t="s">
        <v>10</v>
      </c>
      <c r="C79" s="1">
        <v>43705</v>
      </c>
      <c r="D79">
        <v>2019</v>
      </c>
      <c r="E79">
        <v>8</v>
      </c>
      <c r="F79">
        <v>0</v>
      </c>
      <c r="G79" t="s">
        <v>9</v>
      </c>
    </row>
    <row r="80" spans="1:7" x14ac:dyDescent="0.25">
      <c r="A80" t="s">
        <v>7</v>
      </c>
      <c r="B80" t="s">
        <v>10</v>
      </c>
      <c r="C80" s="1">
        <v>43706</v>
      </c>
      <c r="D80">
        <v>2019</v>
      </c>
      <c r="E80">
        <v>8</v>
      </c>
      <c r="F80">
        <v>0</v>
      </c>
      <c r="G80" t="s">
        <v>9</v>
      </c>
    </row>
    <row r="81" spans="1:7" x14ac:dyDescent="0.25">
      <c r="A81" t="s">
        <v>7</v>
      </c>
      <c r="B81" t="s">
        <v>10</v>
      </c>
      <c r="C81" s="1">
        <v>43709</v>
      </c>
      <c r="D81">
        <v>2019</v>
      </c>
      <c r="E81">
        <v>9</v>
      </c>
      <c r="F81">
        <v>0.54594820700000002</v>
      </c>
      <c r="G81" t="s">
        <v>9</v>
      </c>
    </row>
    <row r="82" spans="1:7" x14ac:dyDescent="0.25">
      <c r="A82" t="s">
        <v>7</v>
      </c>
      <c r="B82" t="s">
        <v>10</v>
      </c>
      <c r="C82" s="1">
        <v>43722</v>
      </c>
      <c r="D82">
        <v>2019</v>
      </c>
      <c r="E82">
        <v>9</v>
      </c>
      <c r="F82">
        <v>0.86698371200000002</v>
      </c>
      <c r="G82" t="s">
        <v>9</v>
      </c>
    </row>
    <row r="83" spans="1:7" x14ac:dyDescent="0.25">
      <c r="A83" t="s">
        <v>7</v>
      </c>
      <c r="B83" t="s">
        <v>10</v>
      </c>
      <c r="C83" s="1">
        <v>43743</v>
      </c>
      <c r="D83">
        <v>2019</v>
      </c>
      <c r="E83">
        <v>10</v>
      </c>
      <c r="F83">
        <v>0</v>
      </c>
      <c r="G83" t="s">
        <v>9</v>
      </c>
    </row>
    <row r="84" spans="1:7" x14ac:dyDescent="0.25">
      <c r="A84" t="s">
        <v>7</v>
      </c>
      <c r="B84" t="s">
        <v>10</v>
      </c>
      <c r="C84" s="1">
        <v>43747</v>
      </c>
      <c r="D84">
        <v>2019</v>
      </c>
      <c r="E84">
        <v>10</v>
      </c>
      <c r="F84">
        <v>1.8677855729999999</v>
      </c>
      <c r="G84" t="s">
        <v>9</v>
      </c>
    </row>
    <row r="85" spans="1:7" x14ac:dyDescent="0.25">
      <c r="A85" t="s">
        <v>7</v>
      </c>
      <c r="B85" t="s">
        <v>10</v>
      </c>
      <c r="C85" s="1">
        <v>43754</v>
      </c>
      <c r="D85">
        <v>2019</v>
      </c>
      <c r="E85">
        <v>10</v>
      </c>
      <c r="F85">
        <v>2.704989195</v>
      </c>
      <c r="G85" t="s">
        <v>9</v>
      </c>
    </row>
    <row r="86" spans="1:7" x14ac:dyDescent="0.25">
      <c r="A86" t="s">
        <v>7</v>
      </c>
      <c r="B86" t="s">
        <v>10</v>
      </c>
      <c r="C86" s="1">
        <v>43762</v>
      </c>
      <c r="D86">
        <v>2019</v>
      </c>
      <c r="E86">
        <v>10</v>
      </c>
      <c r="F86">
        <v>53.935123439999998</v>
      </c>
      <c r="G86" t="s">
        <v>9</v>
      </c>
    </row>
    <row r="87" spans="1:7" x14ac:dyDescent="0.25">
      <c r="A87" t="s">
        <v>7</v>
      </c>
      <c r="B87" t="s">
        <v>10</v>
      </c>
      <c r="C87" s="1">
        <v>43768</v>
      </c>
      <c r="D87">
        <v>2019</v>
      </c>
      <c r="E87">
        <v>10</v>
      </c>
      <c r="F87">
        <v>1.196269751</v>
      </c>
      <c r="G87" t="s">
        <v>9</v>
      </c>
    </row>
    <row r="88" spans="1:7" x14ac:dyDescent="0.25">
      <c r="A88" t="s">
        <v>7</v>
      </c>
      <c r="B88" t="s">
        <v>10</v>
      </c>
      <c r="C88" s="1">
        <v>43769</v>
      </c>
      <c r="D88">
        <v>2019</v>
      </c>
      <c r="E88">
        <v>10</v>
      </c>
      <c r="F88">
        <v>0</v>
      </c>
      <c r="G88" t="s">
        <v>9</v>
      </c>
    </row>
    <row r="89" spans="1:7" x14ac:dyDescent="0.25">
      <c r="A89" t="s">
        <v>7</v>
      </c>
      <c r="B89" t="s">
        <v>10</v>
      </c>
      <c r="C89" s="1">
        <v>43770</v>
      </c>
      <c r="D89">
        <v>2019</v>
      </c>
      <c r="E89">
        <v>11</v>
      </c>
      <c r="F89">
        <v>1.0180606839999999</v>
      </c>
      <c r="G89" t="s">
        <v>9</v>
      </c>
    </row>
    <row r="90" spans="1:7" x14ac:dyDescent="0.25">
      <c r="A90" t="s">
        <v>7</v>
      </c>
      <c r="B90" t="s">
        <v>10</v>
      </c>
      <c r="C90" s="1">
        <v>43787</v>
      </c>
      <c r="D90">
        <v>2019</v>
      </c>
      <c r="E90">
        <v>11</v>
      </c>
      <c r="F90">
        <v>0</v>
      </c>
      <c r="G90" t="s">
        <v>9</v>
      </c>
    </row>
    <row r="91" spans="1:7" x14ac:dyDescent="0.25">
      <c r="A91" t="s">
        <v>7</v>
      </c>
      <c r="B91" t="s">
        <v>10</v>
      </c>
      <c r="C91" s="1">
        <v>43800</v>
      </c>
      <c r="D91">
        <v>2019</v>
      </c>
      <c r="E91">
        <v>12</v>
      </c>
      <c r="F91">
        <v>0</v>
      </c>
      <c r="G91" t="s">
        <v>9</v>
      </c>
    </row>
    <row r="92" spans="1:7" x14ac:dyDescent="0.25">
      <c r="A92" t="s">
        <v>7</v>
      </c>
      <c r="B92" t="s">
        <v>10</v>
      </c>
      <c r="C92" s="1">
        <v>43801</v>
      </c>
      <c r="D92">
        <v>2019</v>
      </c>
      <c r="E92">
        <v>12</v>
      </c>
      <c r="F92">
        <v>0</v>
      </c>
      <c r="G92" t="s">
        <v>9</v>
      </c>
    </row>
    <row r="93" spans="1:7" x14ac:dyDescent="0.25">
      <c r="A93" t="s">
        <v>7</v>
      </c>
      <c r="B93" t="s">
        <v>10</v>
      </c>
      <c r="C93" s="1">
        <v>43809</v>
      </c>
      <c r="D93">
        <v>2019</v>
      </c>
      <c r="E93">
        <v>12</v>
      </c>
      <c r="F93">
        <v>0</v>
      </c>
      <c r="G93" t="s">
        <v>9</v>
      </c>
    </row>
    <row r="94" spans="1:7" x14ac:dyDescent="0.25">
      <c r="A94" t="s">
        <v>7</v>
      </c>
      <c r="B94" t="s">
        <v>10</v>
      </c>
      <c r="C94" s="1">
        <v>43812</v>
      </c>
      <c r="D94">
        <v>2019</v>
      </c>
      <c r="E94">
        <v>12</v>
      </c>
      <c r="F94">
        <v>0</v>
      </c>
      <c r="G94" t="s">
        <v>9</v>
      </c>
    </row>
    <row r="95" spans="1:7" x14ac:dyDescent="0.25">
      <c r="A95" t="s">
        <v>7</v>
      </c>
      <c r="B95" t="s">
        <v>10</v>
      </c>
      <c r="C95" s="1">
        <v>43816</v>
      </c>
      <c r="D95">
        <v>2019</v>
      </c>
      <c r="E95">
        <v>12</v>
      </c>
      <c r="F95">
        <v>0</v>
      </c>
      <c r="G95" t="s">
        <v>9</v>
      </c>
    </row>
    <row r="96" spans="1:7" x14ac:dyDescent="0.25">
      <c r="A96" t="s">
        <v>7</v>
      </c>
      <c r="B96" t="s">
        <v>10</v>
      </c>
      <c r="C96" s="1">
        <v>43821</v>
      </c>
      <c r="D96">
        <v>2019</v>
      </c>
      <c r="E96">
        <v>12</v>
      </c>
      <c r="F96">
        <v>0</v>
      </c>
      <c r="G96" t="s">
        <v>9</v>
      </c>
    </row>
    <row r="97" spans="1:7" x14ac:dyDescent="0.25">
      <c r="A97" t="s">
        <v>7</v>
      </c>
      <c r="B97" t="s">
        <v>10</v>
      </c>
      <c r="C97" s="1">
        <v>43830</v>
      </c>
      <c r="D97">
        <v>2019</v>
      </c>
      <c r="E97">
        <v>12</v>
      </c>
      <c r="F97">
        <v>0</v>
      </c>
      <c r="G97" t="s">
        <v>9</v>
      </c>
    </row>
    <row r="98" spans="1:7" x14ac:dyDescent="0.25">
      <c r="A98" t="s">
        <v>7</v>
      </c>
      <c r="B98" t="s">
        <v>11</v>
      </c>
      <c r="C98" s="1">
        <v>43563</v>
      </c>
      <c r="D98">
        <v>2019</v>
      </c>
      <c r="E98">
        <v>4</v>
      </c>
      <c r="F98">
        <v>0</v>
      </c>
      <c r="G98" t="s">
        <v>9</v>
      </c>
    </row>
    <row r="99" spans="1:7" x14ac:dyDescent="0.25">
      <c r="A99" t="s">
        <v>7</v>
      </c>
      <c r="B99" t="s">
        <v>11</v>
      </c>
      <c r="C99" s="1">
        <v>43565</v>
      </c>
      <c r="D99">
        <v>2019</v>
      </c>
      <c r="E99">
        <v>4</v>
      </c>
      <c r="F99">
        <v>0</v>
      </c>
      <c r="G99" t="s">
        <v>9</v>
      </c>
    </row>
    <row r="100" spans="1:7" x14ac:dyDescent="0.25">
      <c r="A100" t="s">
        <v>7</v>
      </c>
      <c r="B100" t="s">
        <v>11</v>
      </c>
      <c r="C100" s="1">
        <v>43571</v>
      </c>
      <c r="D100">
        <v>2019</v>
      </c>
      <c r="E100">
        <v>4</v>
      </c>
      <c r="F100">
        <v>0</v>
      </c>
      <c r="G100" t="s">
        <v>9</v>
      </c>
    </row>
    <row r="101" spans="1:7" x14ac:dyDescent="0.25">
      <c r="A101" t="s">
        <v>7</v>
      </c>
      <c r="B101" t="s">
        <v>11</v>
      </c>
      <c r="C101" s="1">
        <v>43572</v>
      </c>
      <c r="D101">
        <v>2019</v>
      </c>
      <c r="E101">
        <v>4</v>
      </c>
      <c r="F101">
        <v>0</v>
      </c>
      <c r="G101" t="s">
        <v>9</v>
      </c>
    </row>
    <row r="102" spans="1:7" x14ac:dyDescent="0.25">
      <c r="A102" t="s">
        <v>7</v>
      </c>
      <c r="B102" t="s">
        <v>11</v>
      </c>
      <c r="C102" s="1">
        <v>43573</v>
      </c>
      <c r="D102">
        <v>2019</v>
      </c>
      <c r="E102">
        <v>4</v>
      </c>
      <c r="F102">
        <v>0</v>
      </c>
      <c r="G102" t="s">
        <v>9</v>
      </c>
    </row>
    <row r="103" spans="1:7" x14ac:dyDescent="0.25">
      <c r="A103" t="s">
        <v>7</v>
      </c>
      <c r="B103" t="s">
        <v>11</v>
      </c>
      <c r="C103" s="1">
        <v>43574</v>
      </c>
      <c r="D103">
        <v>2019</v>
      </c>
      <c r="E103">
        <v>4</v>
      </c>
      <c r="F103">
        <v>0</v>
      </c>
      <c r="G103" t="s">
        <v>9</v>
      </c>
    </row>
    <row r="104" spans="1:7" x14ac:dyDescent="0.25">
      <c r="A104" t="s">
        <v>7</v>
      </c>
      <c r="B104" t="s">
        <v>11</v>
      </c>
      <c r="C104" s="1">
        <v>43575</v>
      </c>
      <c r="D104">
        <v>2019</v>
      </c>
      <c r="E104">
        <v>4</v>
      </c>
      <c r="F104">
        <v>0.101221874</v>
      </c>
      <c r="G104" t="s">
        <v>9</v>
      </c>
    </row>
    <row r="105" spans="1:7" x14ac:dyDescent="0.25">
      <c r="A105" t="s">
        <v>7</v>
      </c>
      <c r="B105" t="s">
        <v>11</v>
      </c>
      <c r="C105" s="1">
        <v>43577</v>
      </c>
      <c r="D105">
        <v>2019</v>
      </c>
      <c r="E105">
        <v>4</v>
      </c>
      <c r="F105">
        <v>0</v>
      </c>
      <c r="G105" t="s">
        <v>9</v>
      </c>
    </row>
    <row r="106" spans="1:7" x14ac:dyDescent="0.25">
      <c r="A106" t="s">
        <v>7</v>
      </c>
      <c r="B106" t="s">
        <v>11</v>
      </c>
      <c r="C106" s="1">
        <v>43578</v>
      </c>
      <c r="D106">
        <v>2019</v>
      </c>
      <c r="E106">
        <v>4</v>
      </c>
      <c r="F106">
        <v>0</v>
      </c>
      <c r="G106" t="s">
        <v>9</v>
      </c>
    </row>
    <row r="107" spans="1:7" x14ac:dyDescent="0.25">
      <c r="A107" t="s">
        <v>7</v>
      </c>
      <c r="B107" t="s">
        <v>11</v>
      </c>
      <c r="C107" s="1">
        <v>43586</v>
      </c>
      <c r="D107">
        <v>2019</v>
      </c>
      <c r="E107">
        <v>5</v>
      </c>
      <c r="F107">
        <v>0</v>
      </c>
      <c r="G107" t="s">
        <v>9</v>
      </c>
    </row>
    <row r="108" spans="1:7" x14ac:dyDescent="0.25">
      <c r="A108" t="s">
        <v>7</v>
      </c>
      <c r="B108" t="s">
        <v>11</v>
      </c>
      <c r="C108" s="1">
        <v>43587</v>
      </c>
      <c r="D108">
        <v>2019</v>
      </c>
      <c r="E108">
        <v>5</v>
      </c>
      <c r="F108">
        <v>0</v>
      </c>
      <c r="G108" t="s">
        <v>9</v>
      </c>
    </row>
    <row r="109" spans="1:7" x14ac:dyDescent="0.25">
      <c r="A109" t="s">
        <v>7</v>
      </c>
      <c r="B109" t="s">
        <v>11</v>
      </c>
      <c r="C109" s="1">
        <v>43590</v>
      </c>
      <c r="D109">
        <v>2019</v>
      </c>
      <c r="E109">
        <v>5</v>
      </c>
      <c r="F109">
        <v>0</v>
      </c>
      <c r="G109" t="s">
        <v>9</v>
      </c>
    </row>
    <row r="110" spans="1:7" x14ac:dyDescent="0.25">
      <c r="A110" t="s">
        <v>7</v>
      </c>
      <c r="B110" t="s">
        <v>11</v>
      </c>
      <c r="C110" s="1">
        <v>43604</v>
      </c>
      <c r="D110">
        <v>2019</v>
      </c>
      <c r="E110">
        <v>5</v>
      </c>
      <c r="F110">
        <v>0</v>
      </c>
      <c r="G110" t="s">
        <v>9</v>
      </c>
    </row>
    <row r="111" spans="1:7" x14ac:dyDescent="0.25">
      <c r="A111" t="s">
        <v>7</v>
      </c>
      <c r="B111" t="s">
        <v>11</v>
      </c>
      <c r="C111" s="1">
        <v>43611</v>
      </c>
      <c r="D111">
        <v>2019</v>
      </c>
      <c r="E111">
        <v>5</v>
      </c>
      <c r="F111">
        <v>0</v>
      </c>
      <c r="G111" t="s">
        <v>9</v>
      </c>
    </row>
    <row r="112" spans="1:7" x14ac:dyDescent="0.25">
      <c r="A112" t="s">
        <v>7</v>
      </c>
      <c r="B112" t="s">
        <v>11</v>
      </c>
      <c r="C112" s="1">
        <v>43629</v>
      </c>
      <c r="D112">
        <v>2019</v>
      </c>
      <c r="E112">
        <v>6</v>
      </c>
      <c r="F112">
        <v>0</v>
      </c>
      <c r="G112" t="s">
        <v>9</v>
      </c>
    </row>
    <row r="113" spans="1:7" x14ac:dyDescent="0.25">
      <c r="A113" t="s">
        <v>7</v>
      </c>
      <c r="B113" t="s">
        <v>11</v>
      </c>
      <c r="C113" s="1">
        <v>43640</v>
      </c>
      <c r="D113">
        <v>2019</v>
      </c>
      <c r="E113">
        <v>6</v>
      </c>
      <c r="F113">
        <v>0</v>
      </c>
      <c r="G113" t="s">
        <v>9</v>
      </c>
    </row>
    <row r="114" spans="1:7" x14ac:dyDescent="0.25">
      <c r="A114" t="s">
        <v>7</v>
      </c>
      <c r="B114" t="s">
        <v>11</v>
      </c>
      <c r="C114" s="1">
        <v>43642</v>
      </c>
      <c r="D114">
        <v>2019</v>
      </c>
      <c r="E114">
        <v>6</v>
      </c>
      <c r="F114">
        <v>1.4651176530000001</v>
      </c>
      <c r="G114" t="s">
        <v>9</v>
      </c>
    </row>
    <row r="115" spans="1:7" x14ac:dyDescent="0.25">
      <c r="A115" t="s">
        <v>7</v>
      </c>
      <c r="B115" t="s">
        <v>11</v>
      </c>
      <c r="C115" s="1">
        <v>43644</v>
      </c>
      <c r="D115">
        <v>2019</v>
      </c>
      <c r="E115">
        <v>6</v>
      </c>
      <c r="F115">
        <v>0</v>
      </c>
      <c r="G115" t="s">
        <v>9</v>
      </c>
    </row>
    <row r="116" spans="1:7" x14ac:dyDescent="0.25">
      <c r="A116" t="s">
        <v>7</v>
      </c>
      <c r="B116" t="s">
        <v>11</v>
      </c>
      <c r="C116" s="1">
        <v>43646</v>
      </c>
      <c r="D116">
        <v>2019</v>
      </c>
      <c r="E116">
        <v>6</v>
      </c>
      <c r="F116">
        <v>0</v>
      </c>
      <c r="G116" t="s">
        <v>9</v>
      </c>
    </row>
    <row r="117" spans="1:7" x14ac:dyDescent="0.25">
      <c r="A117" t="s">
        <v>7</v>
      </c>
      <c r="B117" t="s">
        <v>11</v>
      </c>
      <c r="C117" s="1">
        <v>43648</v>
      </c>
      <c r="D117">
        <v>2019</v>
      </c>
      <c r="E117">
        <v>7</v>
      </c>
      <c r="F117">
        <v>0</v>
      </c>
      <c r="G117" t="s">
        <v>9</v>
      </c>
    </row>
    <row r="118" spans="1:7" x14ac:dyDescent="0.25">
      <c r="A118" t="s">
        <v>7</v>
      </c>
      <c r="B118" t="s">
        <v>11</v>
      </c>
      <c r="C118" s="1">
        <v>43651</v>
      </c>
      <c r="D118">
        <v>2019</v>
      </c>
      <c r="E118">
        <v>7</v>
      </c>
      <c r="F118">
        <v>0</v>
      </c>
      <c r="G118" t="s">
        <v>9</v>
      </c>
    </row>
    <row r="119" spans="1:7" x14ac:dyDescent="0.25">
      <c r="A119" t="s">
        <v>7</v>
      </c>
      <c r="B119" t="s">
        <v>11</v>
      </c>
      <c r="C119" s="1">
        <v>43653</v>
      </c>
      <c r="D119">
        <v>2019</v>
      </c>
      <c r="E119">
        <v>7</v>
      </c>
      <c r="F119">
        <v>0</v>
      </c>
      <c r="G119" t="s">
        <v>9</v>
      </c>
    </row>
    <row r="120" spans="1:7" x14ac:dyDescent="0.25">
      <c r="A120" t="s">
        <v>7</v>
      </c>
      <c r="B120" t="s">
        <v>11</v>
      </c>
      <c r="C120" s="1">
        <v>43665</v>
      </c>
      <c r="D120">
        <v>2019</v>
      </c>
      <c r="E120">
        <v>7</v>
      </c>
      <c r="F120">
        <v>0.55092889</v>
      </c>
      <c r="G120" t="s">
        <v>9</v>
      </c>
    </row>
    <row r="121" spans="1:7" x14ac:dyDescent="0.25">
      <c r="A121" t="s">
        <v>7</v>
      </c>
      <c r="B121" t="s">
        <v>11</v>
      </c>
      <c r="C121" s="1">
        <v>43669</v>
      </c>
      <c r="D121">
        <v>2019</v>
      </c>
      <c r="E121">
        <v>7</v>
      </c>
      <c r="F121">
        <v>0.68448540700000005</v>
      </c>
      <c r="G121" t="s">
        <v>9</v>
      </c>
    </row>
    <row r="122" spans="1:7" x14ac:dyDescent="0.25">
      <c r="A122" t="s">
        <v>7</v>
      </c>
      <c r="B122" t="s">
        <v>11</v>
      </c>
      <c r="C122" s="1">
        <v>43674</v>
      </c>
      <c r="D122">
        <v>2019</v>
      </c>
      <c r="E122">
        <v>7</v>
      </c>
      <c r="F122">
        <v>0</v>
      </c>
      <c r="G122" t="s">
        <v>9</v>
      </c>
    </row>
    <row r="123" spans="1:7" x14ac:dyDescent="0.25">
      <c r="A123" t="s">
        <v>7</v>
      </c>
      <c r="B123" t="s">
        <v>11</v>
      </c>
      <c r="C123" s="1">
        <v>43677</v>
      </c>
      <c r="D123">
        <v>2019</v>
      </c>
      <c r="E123">
        <v>7</v>
      </c>
      <c r="F123">
        <v>0</v>
      </c>
      <c r="G123" t="s">
        <v>9</v>
      </c>
    </row>
    <row r="124" spans="1:7" x14ac:dyDescent="0.25">
      <c r="A124" t="s">
        <v>7</v>
      </c>
      <c r="B124" t="s">
        <v>11</v>
      </c>
      <c r="C124" s="1">
        <v>43678</v>
      </c>
      <c r="D124">
        <v>2019</v>
      </c>
      <c r="E124">
        <v>8</v>
      </c>
      <c r="F124">
        <v>0</v>
      </c>
      <c r="G124" t="s">
        <v>9</v>
      </c>
    </row>
    <row r="125" spans="1:7" x14ac:dyDescent="0.25">
      <c r="A125" t="s">
        <v>7</v>
      </c>
      <c r="B125" t="s">
        <v>11</v>
      </c>
      <c r="C125" s="1">
        <v>43683</v>
      </c>
      <c r="D125">
        <v>2019</v>
      </c>
      <c r="E125">
        <v>8</v>
      </c>
      <c r="F125">
        <v>0.144935862</v>
      </c>
      <c r="G125" t="s">
        <v>9</v>
      </c>
    </row>
    <row r="126" spans="1:7" x14ac:dyDescent="0.25">
      <c r="A126" t="s">
        <v>7</v>
      </c>
      <c r="B126" t="s">
        <v>11</v>
      </c>
      <c r="C126" s="1">
        <v>43685</v>
      </c>
      <c r="D126">
        <v>2019</v>
      </c>
      <c r="E126">
        <v>8</v>
      </c>
      <c r="F126">
        <v>0</v>
      </c>
      <c r="G126" t="s">
        <v>9</v>
      </c>
    </row>
    <row r="127" spans="1:7" x14ac:dyDescent="0.25">
      <c r="A127" t="s">
        <v>7</v>
      </c>
      <c r="B127" t="s">
        <v>11</v>
      </c>
      <c r="C127" s="1">
        <v>43692</v>
      </c>
      <c r="D127">
        <v>2019</v>
      </c>
      <c r="E127">
        <v>8</v>
      </c>
      <c r="F127">
        <v>0</v>
      </c>
      <c r="G127" t="s">
        <v>9</v>
      </c>
    </row>
    <row r="128" spans="1:7" x14ac:dyDescent="0.25">
      <c r="A128" t="s">
        <v>7</v>
      </c>
      <c r="B128" t="s">
        <v>11</v>
      </c>
      <c r="C128" s="1">
        <v>43701</v>
      </c>
      <c r="D128">
        <v>2019</v>
      </c>
      <c r="E128">
        <v>8</v>
      </c>
      <c r="F128">
        <v>9.5000790449999997</v>
      </c>
      <c r="G128" t="s">
        <v>9</v>
      </c>
    </row>
    <row r="129" spans="1:7" x14ac:dyDescent="0.25">
      <c r="A129" t="s">
        <v>7</v>
      </c>
      <c r="B129" t="s">
        <v>11</v>
      </c>
      <c r="C129" s="1">
        <v>43702</v>
      </c>
      <c r="D129">
        <v>2019</v>
      </c>
      <c r="E129">
        <v>8</v>
      </c>
      <c r="F129">
        <v>0</v>
      </c>
      <c r="G129" t="s">
        <v>9</v>
      </c>
    </row>
    <row r="130" spans="1:7" x14ac:dyDescent="0.25">
      <c r="A130" t="s">
        <v>7</v>
      </c>
      <c r="B130" t="s">
        <v>11</v>
      </c>
      <c r="C130" s="1">
        <v>43704</v>
      </c>
      <c r="D130">
        <v>2019</v>
      </c>
      <c r="E130">
        <v>8</v>
      </c>
      <c r="F130">
        <v>3.7492828130000002</v>
      </c>
      <c r="G130" t="s">
        <v>9</v>
      </c>
    </row>
    <row r="131" spans="1:7" x14ac:dyDescent="0.25">
      <c r="A131" t="s">
        <v>7</v>
      </c>
      <c r="B131" t="s">
        <v>11</v>
      </c>
      <c r="C131" s="1">
        <v>43720</v>
      </c>
      <c r="D131">
        <v>2019</v>
      </c>
      <c r="E131">
        <v>9</v>
      </c>
      <c r="F131">
        <v>22.42033159</v>
      </c>
      <c r="G131" t="s">
        <v>9</v>
      </c>
    </row>
    <row r="132" spans="1:7" x14ac:dyDescent="0.25">
      <c r="A132" t="s">
        <v>7</v>
      </c>
      <c r="B132" t="s">
        <v>11</v>
      </c>
      <c r="C132" s="1">
        <v>43725</v>
      </c>
      <c r="D132">
        <v>2019</v>
      </c>
      <c r="E132">
        <v>9</v>
      </c>
      <c r="F132">
        <v>21.00828967</v>
      </c>
      <c r="G132" t="s">
        <v>9</v>
      </c>
    </row>
    <row r="133" spans="1:7" x14ac:dyDescent="0.25">
      <c r="A133" t="s">
        <v>7</v>
      </c>
      <c r="B133" t="s">
        <v>11</v>
      </c>
      <c r="C133" s="1">
        <v>43728</v>
      </c>
      <c r="D133">
        <v>2019</v>
      </c>
      <c r="E133">
        <v>9</v>
      </c>
      <c r="F133">
        <v>2.9554242660000001</v>
      </c>
      <c r="G133" t="s">
        <v>9</v>
      </c>
    </row>
    <row r="134" spans="1:7" x14ac:dyDescent="0.25">
      <c r="A134" t="s">
        <v>7</v>
      </c>
      <c r="B134" t="s">
        <v>11</v>
      </c>
      <c r="C134" s="1">
        <v>43739</v>
      </c>
      <c r="D134">
        <v>2019</v>
      </c>
      <c r="E134">
        <v>10</v>
      </c>
      <c r="F134">
        <v>1.265741615</v>
      </c>
      <c r="G134" t="s">
        <v>9</v>
      </c>
    </row>
    <row r="135" spans="1:7" x14ac:dyDescent="0.25">
      <c r="A135" t="s">
        <v>7</v>
      </c>
      <c r="B135" t="s">
        <v>11</v>
      </c>
      <c r="C135" s="1">
        <v>43746</v>
      </c>
      <c r="D135">
        <v>2019</v>
      </c>
      <c r="E135">
        <v>10</v>
      </c>
      <c r="F135">
        <v>0</v>
      </c>
      <c r="G135" t="s">
        <v>9</v>
      </c>
    </row>
    <row r="136" spans="1:7" x14ac:dyDescent="0.25">
      <c r="A136" t="s">
        <v>7</v>
      </c>
      <c r="B136" t="s">
        <v>11</v>
      </c>
      <c r="C136" s="1">
        <v>43753</v>
      </c>
      <c r="D136">
        <v>2019</v>
      </c>
      <c r="E136">
        <v>10</v>
      </c>
      <c r="F136">
        <v>11.30131585</v>
      </c>
      <c r="G136" t="s">
        <v>9</v>
      </c>
    </row>
    <row r="137" spans="1:7" x14ac:dyDescent="0.25">
      <c r="A137" t="s">
        <v>7</v>
      </c>
      <c r="B137" t="s">
        <v>11</v>
      </c>
      <c r="C137" s="1">
        <v>43764</v>
      </c>
      <c r="D137">
        <v>2019</v>
      </c>
      <c r="E137">
        <v>10</v>
      </c>
      <c r="F137">
        <v>0.144360342</v>
      </c>
      <c r="G137" t="s">
        <v>9</v>
      </c>
    </row>
    <row r="138" spans="1:7" x14ac:dyDescent="0.25">
      <c r="A138" t="s">
        <v>7</v>
      </c>
      <c r="B138" t="s">
        <v>11</v>
      </c>
      <c r="C138" s="1">
        <v>43767</v>
      </c>
      <c r="D138">
        <v>2019</v>
      </c>
      <c r="E138">
        <v>10</v>
      </c>
      <c r="F138">
        <v>17.029058289999998</v>
      </c>
      <c r="G138" t="s">
        <v>9</v>
      </c>
    </row>
    <row r="139" spans="1:7" x14ac:dyDescent="0.25">
      <c r="A139" t="s">
        <v>7</v>
      </c>
      <c r="B139" t="s">
        <v>11</v>
      </c>
      <c r="C139" s="1">
        <v>43778</v>
      </c>
      <c r="D139">
        <v>2019</v>
      </c>
      <c r="E139">
        <v>11</v>
      </c>
      <c r="F139">
        <v>0</v>
      </c>
      <c r="G139" t="s">
        <v>9</v>
      </c>
    </row>
    <row r="140" spans="1:7" x14ac:dyDescent="0.25">
      <c r="A140" t="s">
        <v>7</v>
      </c>
      <c r="B140" t="s">
        <v>11</v>
      </c>
      <c r="C140" s="1">
        <v>43786</v>
      </c>
      <c r="D140">
        <v>2019</v>
      </c>
      <c r="E140">
        <v>11</v>
      </c>
      <c r="F140">
        <v>6.7195965800000002</v>
      </c>
      <c r="G140" t="s">
        <v>9</v>
      </c>
    </row>
    <row r="141" spans="1:7" x14ac:dyDescent="0.25">
      <c r="A141" t="s">
        <v>7</v>
      </c>
      <c r="B141" t="s">
        <v>11</v>
      </c>
      <c r="C141" s="1">
        <v>43789</v>
      </c>
      <c r="D141">
        <v>2019</v>
      </c>
      <c r="E141">
        <v>11</v>
      </c>
      <c r="F141">
        <v>11.44684653</v>
      </c>
      <c r="G141" t="s">
        <v>9</v>
      </c>
    </row>
    <row r="142" spans="1:7" x14ac:dyDescent="0.25">
      <c r="A142" t="s">
        <v>7</v>
      </c>
      <c r="B142" t="s">
        <v>11</v>
      </c>
      <c r="C142" s="1">
        <v>43799</v>
      </c>
      <c r="D142">
        <v>2019</v>
      </c>
      <c r="E142">
        <v>11</v>
      </c>
      <c r="F142">
        <v>77.969503000000003</v>
      </c>
      <c r="G142" t="s">
        <v>9</v>
      </c>
    </row>
    <row r="143" spans="1:7" x14ac:dyDescent="0.25">
      <c r="A143" t="s">
        <v>7</v>
      </c>
      <c r="B143" t="s">
        <v>11</v>
      </c>
      <c r="C143" s="1">
        <v>43802</v>
      </c>
      <c r="D143">
        <v>2019</v>
      </c>
      <c r="E143">
        <v>12</v>
      </c>
      <c r="F143">
        <v>36.199601209999997</v>
      </c>
      <c r="G143" t="s">
        <v>9</v>
      </c>
    </row>
    <row r="144" spans="1:7" x14ac:dyDescent="0.25">
      <c r="A144" t="s">
        <v>7</v>
      </c>
      <c r="B144" t="s">
        <v>11</v>
      </c>
      <c r="C144" s="1">
        <v>43815</v>
      </c>
      <c r="D144">
        <v>2019</v>
      </c>
      <c r="E144">
        <v>12</v>
      </c>
      <c r="F144">
        <v>10.44505483</v>
      </c>
      <c r="G144" t="s">
        <v>9</v>
      </c>
    </row>
    <row r="145" spans="1:7" x14ac:dyDescent="0.25">
      <c r="A145" t="s">
        <v>7</v>
      </c>
      <c r="B145" t="s">
        <v>11</v>
      </c>
      <c r="C145" s="1">
        <v>43818</v>
      </c>
      <c r="D145">
        <v>2019</v>
      </c>
      <c r="E145">
        <v>12</v>
      </c>
      <c r="F145">
        <v>8.3378826549999996</v>
      </c>
      <c r="G145" t="s">
        <v>9</v>
      </c>
    </row>
    <row r="146" spans="1:7" x14ac:dyDescent="0.25">
      <c r="A146" t="s">
        <v>7</v>
      </c>
      <c r="B146" t="s">
        <v>12</v>
      </c>
      <c r="C146" s="1">
        <v>43466</v>
      </c>
      <c r="D146">
        <v>2019</v>
      </c>
      <c r="E146">
        <v>1</v>
      </c>
      <c r="F146">
        <v>0</v>
      </c>
      <c r="G146" t="s">
        <v>9</v>
      </c>
    </row>
    <row r="147" spans="1:7" x14ac:dyDescent="0.25">
      <c r="A147" t="s">
        <v>7</v>
      </c>
      <c r="B147" t="s">
        <v>12</v>
      </c>
      <c r="C147" s="1">
        <v>43467</v>
      </c>
      <c r="D147">
        <v>2019</v>
      </c>
      <c r="E147">
        <v>1</v>
      </c>
      <c r="F147">
        <v>0</v>
      </c>
      <c r="G147" t="s">
        <v>9</v>
      </c>
    </row>
    <row r="148" spans="1:7" x14ac:dyDescent="0.25">
      <c r="A148" t="s">
        <v>7</v>
      </c>
      <c r="B148" t="s">
        <v>12</v>
      </c>
      <c r="C148" s="1">
        <v>43474</v>
      </c>
      <c r="D148">
        <v>2019</v>
      </c>
      <c r="E148">
        <v>1</v>
      </c>
      <c r="F148">
        <v>0</v>
      </c>
      <c r="G148" t="s">
        <v>9</v>
      </c>
    </row>
    <row r="149" spans="1:7" x14ac:dyDescent="0.25">
      <c r="A149" t="s">
        <v>7</v>
      </c>
      <c r="B149" t="s">
        <v>12</v>
      </c>
      <c r="C149" s="1">
        <v>43496</v>
      </c>
      <c r="D149">
        <v>2019</v>
      </c>
      <c r="E149">
        <v>1</v>
      </c>
      <c r="F149">
        <v>0</v>
      </c>
      <c r="G149" t="s">
        <v>9</v>
      </c>
    </row>
    <row r="150" spans="1:7" x14ac:dyDescent="0.25">
      <c r="A150" t="s">
        <v>7</v>
      </c>
      <c r="B150" t="s">
        <v>12</v>
      </c>
      <c r="C150" s="1">
        <v>43498</v>
      </c>
      <c r="D150">
        <v>2019</v>
      </c>
      <c r="E150">
        <v>2</v>
      </c>
      <c r="F150">
        <v>0</v>
      </c>
      <c r="G150" t="s">
        <v>9</v>
      </c>
    </row>
    <row r="151" spans="1:7" x14ac:dyDescent="0.25">
      <c r="A151" t="s">
        <v>7</v>
      </c>
      <c r="B151" t="s">
        <v>12</v>
      </c>
      <c r="C151" s="1">
        <v>43500</v>
      </c>
      <c r="D151">
        <v>2019</v>
      </c>
      <c r="E151">
        <v>2</v>
      </c>
      <c r="F151">
        <v>0</v>
      </c>
      <c r="G151" t="s">
        <v>9</v>
      </c>
    </row>
    <row r="152" spans="1:7" x14ac:dyDescent="0.25">
      <c r="A152" t="s">
        <v>7</v>
      </c>
      <c r="B152" t="s">
        <v>12</v>
      </c>
      <c r="C152" s="1">
        <v>43507</v>
      </c>
      <c r="D152">
        <v>2019</v>
      </c>
      <c r="E152">
        <v>2</v>
      </c>
      <c r="F152">
        <v>0</v>
      </c>
      <c r="G152" t="s">
        <v>9</v>
      </c>
    </row>
    <row r="153" spans="1:7" x14ac:dyDescent="0.25">
      <c r="A153" t="s">
        <v>7</v>
      </c>
      <c r="B153" t="s">
        <v>12</v>
      </c>
      <c r="C153" s="1">
        <v>43508</v>
      </c>
      <c r="D153">
        <v>2019</v>
      </c>
      <c r="E153">
        <v>2</v>
      </c>
      <c r="F153">
        <v>0</v>
      </c>
      <c r="G153" t="s">
        <v>9</v>
      </c>
    </row>
    <row r="154" spans="1:7" x14ac:dyDescent="0.25">
      <c r="A154" t="s">
        <v>7</v>
      </c>
      <c r="B154" t="s">
        <v>12</v>
      </c>
      <c r="C154" s="1">
        <v>43513</v>
      </c>
      <c r="D154">
        <v>2019</v>
      </c>
      <c r="E154">
        <v>2</v>
      </c>
      <c r="F154">
        <v>0</v>
      </c>
      <c r="G154" t="s">
        <v>9</v>
      </c>
    </row>
    <row r="155" spans="1:7" x14ac:dyDescent="0.25">
      <c r="A155" t="s">
        <v>7</v>
      </c>
      <c r="B155" t="s">
        <v>12</v>
      </c>
      <c r="C155" s="1">
        <v>43516</v>
      </c>
      <c r="D155">
        <v>2019</v>
      </c>
      <c r="E155">
        <v>2</v>
      </c>
      <c r="F155">
        <v>0</v>
      </c>
      <c r="G155" t="s">
        <v>9</v>
      </c>
    </row>
    <row r="156" spans="1:7" x14ac:dyDescent="0.25">
      <c r="A156" t="s">
        <v>7</v>
      </c>
      <c r="B156" t="s">
        <v>12</v>
      </c>
      <c r="C156" s="1">
        <v>43521</v>
      </c>
      <c r="D156">
        <v>2019</v>
      </c>
      <c r="E156">
        <v>2</v>
      </c>
      <c r="F156">
        <v>0</v>
      </c>
      <c r="G156" t="s">
        <v>9</v>
      </c>
    </row>
    <row r="157" spans="1:7" x14ac:dyDescent="0.25">
      <c r="A157" t="s">
        <v>7</v>
      </c>
      <c r="B157" t="s">
        <v>12</v>
      </c>
      <c r="C157" s="1">
        <v>43523</v>
      </c>
      <c r="D157">
        <v>2019</v>
      </c>
      <c r="E157">
        <v>2</v>
      </c>
      <c r="F157">
        <v>0</v>
      </c>
      <c r="G157" t="s">
        <v>9</v>
      </c>
    </row>
    <row r="158" spans="1:7" x14ac:dyDescent="0.25">
      <c r="A158" t="s">
        <v>7</v>
      </c>
      <c r="B158" t="s">
        <v>12</v>
      </c>
      <c r="C158" s="1">
        <v>43529</v>
      </c>
      <c r="D158">
        <v>2019</v>
      </c>
      <c r="E158">
        <v>3</v>
      </c>
      <c r="F158">
        <v>0</v>
      </c>
      <c r="G158" t="s">
        <v>9</v>
      </c>
    </row>
    <row r="159" spans="1:7" x14ac:dyDescent="0.25">
      <c r="A159" t="s">
        <v>7</v>
      </c>
      <c r="B159" t="s">
        <v>12</v>
      </c>
      <c r="C159" s="1">
        <v>43530</v>
      </c>
      <c r="D159">
        <v>2019</v>
      </c>
      <c r="E159">
        <v>3</v>
      </c>
      <c r="F159">
        <v>0</v>
      </c>
      <c r="G159" t="s">
        <v>9</v>
      </c>
    </row>
    <row r="160" spans="1:7" x14ac:dyDescent="0.25">
      <c r="A160" t="s">
        <v>7</v>
      </c>
      <c r="B160" t="s">
        <v>12</v>
      </c>
      <c r="C160" s="1">
        <v>43532</v>
      </c>
      <c r="D160">
        <v>2019</v>
      </c>
      <c r="E160">
        <v>3</v>
      </c>
      <c r="F160">
        <v>0</v>
      </c>
      <c r="G160" t="s">
        <v>9</v>
      </c>
    </row>
    <row r="161" spans="1:7" x14ac:dyDescent="0.25">
      <c r="A161" t="s">
        <v>7</v>
      </c>
      <c r="B161" t="s">
        <v>12</v>
      </c>
      <c r="C161" s="1">
        <v>43545</v>
      </c>
      <c r="D161">
        <v>2019</v>
      </c>
      <c r="E161">
        <v>3</v>
      </c>
      <c r="F161">
        <v>0</v>
      </c>
      <c r="G161" t="s">
        <v>9</v>
      </c>
    </row>
    <row r="162" spans="1:7" x14ac:dyDescent="0.25">
      <c r="A162" t="s">
        <v>7</v>
      </c>
      <c r="B162" t="s">
        <v>12</v>
      </c>
      <c r="C162" s="1">
        <v>43556</v>
      </c>
      <c r="D162">
        <v>2019</v>
      </c>
      <c r="E162">
        <v>4</v>
      </c>
      <c r="F162">
        <v>0</v>
      </c>
      <c r="G162" t="s">
        <v>9</v>
      </c>
    </row>
    <row r="163" spans="1:7" x14ac:dyDescent="0.25">
      <c r="A163" t="s">
        <v>7</v>
      </c>
      <c r="B163" t="s">
        <v>12</v>
      </c>
      <c r="C163" s="1">
        <v>43562</v>
      </c>
      <c r="D163">
        <v>2019</v>
      </c>
      <c r="E163">
        <v>4</v>
      </c>
      <c r="F163">
        <v>0</v>
      </c>
      <c r="G163" t="s">
        <v>9</v>
      </c>
    </row>
    <row r="164" spans="1:7" x14ac:dyDescent="0.25">
      <c r="A164" t="s">
        <v>7</v>
      </c>
      <c r="B164" t="s">
        <v>12</v>
      </c>
      <c r="C164" s="1">
        <v>43563</v>
      </c>
      <c r="D164">
        <v>2019</v>
      </c>
      <c r="E164">
        <v>4</v>
      </c>
      <c r="F164">
        <v>0</v>
      </c>
      <c r="G164" t="s">
        <v>9</v>
      </c>
    </row>
    <row r="165" spans="1:7" x14ac:dyDescent="0.25">
      <c r="A165" t="s">
        <v>7</v>
      </c>
      <c r="B165" t="s">
        <v>12</v>
      </c>
      <c r="C165" s="1">
        <v>43566</v>
      </c>
      <c r="D165">
        <v>2019</v>
      </c>
      <c r="E165">
        <v>4</v>
      </c>
      <c r="F165">
        <v>0</v>
      </c>
      <c r="G165" t="s">
        <v>9</v>
      </c>
    </row>
    <row r="166" spans="1:7" x14ac:dyDescent="0.25">
      <c r="A166" t="s">
        <v>7</v>
      </c>
      <c r="B166" t="s">
        <v>12</v>
      </c>
      <c r="C166" s="1">
        <v>43575</v>
      </c>
      <c r="D166">
        <v>2019</v>
      </c>
      <c r="E166">
        <v>4</v>
      </c>
      <c r="F166">
        <v>0</v>
      </c>
      <c r="G166" t="s">
        <v>9</v>
      </c>
    </row>
    <row r="167" spans="1:7" x14ac:dyDescent="0.25">
      <c r="A167" t="s">
        <v>7</v>
      </c>
      <c r="B167" t="s">
        <v>12</v>
      </c>
      <c r="C167" s="1">
        <v>43579</v>
      </c>
      <c r="D167">
        <v>2019</v>
      </c>
      <c r="E167">
        <v>4</v>
      </c>
      <c r="F167">
        <v>7.0803556439999999</v>
      </c>
      <c r="G167" t="s">
        <v>9</v>
      </c>
    </row>
    <row r="168" spans="1:7" x14ac:dyDescent="0.25">
      <c r="A168" t="s">
        <v>7</v>
      </c>
      <c r="B168" t="s">
        <v>12</v>
      </c>
      <c r="C168" s="1">
        <v>43582</v>
      </c>
      <c r="D168">
        <v>2019</v>
      </c>
      <c r="E168">
        <v>4</v>
      </c>
      <c r="F168">
        <v>0</v>
      </c>
      <c r="G168" t="s">
        <v>9</v>
      </c>
    </row>
    <row r="169" spans="1:7" x14ac:dyDescent="0.25">
      <c r="A169" t="s">
        <v>7</v>
      </c>
      <c r="B169" t="s">
        <v>12</v>
      </c>
      <c r="C169" s="1">
        <v>43583</v>
      </c>
      <c r="D169">
        <v>2019</v>
      </c>
      <c r="E169">
        <v>4</v>
      </c>
      <c r="F169">
        <v>0</v>
      </c>
      <c r="G169" t="s">
        <v>9</v>
      </c>
    </row>
    <row r="170" spans="1:7" x14ac:dyDescent="0.25">
      <c r="A170" t="s">
        <v>7</v>
      </c>
      <c r="B170" t="s">
        <v>12</v>
      </c>
      <c r="C170" s="1">
        <v>43584</v>
      </c>
      <c r="D170">
        <v>2019</v>
      </c>
      <c r="E170">
        <v>4</v>
      </c>
      <c r="F170">
        <v>0</v>
      </c>
      <c r="G170" t="s">
        <v>9</v>
      </c>
    </row>
    <row r="171" spans="1:7" x14ac:dyDescent="0.25">
      <c r="A171" t="s">
        <v>7</v>
      </c>
      <c r="B171" t="s">
        <v>12</v>
      </c>
      <c r="C171" s="1">
        <v>43592</v>
      </c>
      <c r="D171">
        <v>2019</v>
      </c>
      <c r="E171">
        <v>5</v>
      </c>
      <c r="F171">
        <v>0</v>
      </c>
      <c r="G171" t="s">
        <v>9</v>
      </c>
    </row>
    <row r="172" spans="1:7" x14ac:dyDescent="0.25">
      <c r="A172" t="s">
        <v>7</v>
      </c>
      <c r="B172" t="s">
        <v>12</v>
      </c>
      <c r="C172" s="1">
        <v>43603</v>
      </c>
      <c r="D172">
        <v>2019</v>
      </c>
      <c r="E172">
        <v>5</v>
      </c>
      <c r="F172">
        <v>5.4705891610000004</v>
      </c>
      <c r="G172" t="s">
        <v>9</v>
      </c>
    </row>
    <row r="173" spans="1:7" x14ac:dyDescent="0.25">
      <c r="A173" t="s">
        <v>7</v>
      </c>
      <c r="B173" t="s">
        <v>12</v>
      </c>
      <c r="C173" s="1">
        <v>43604</v>
      </c>
      <c r="D173">
        <v>2019</v>
      </c>
      <c r="E173">
        <v>5</v>
      </c>
      <c r="F173">
        <v>0.17039738600000001</v>
      </c>
      <c r="G173" t="s">
        <v>9</v>
      </c>
    </row>
    <row r="174" spans="1:7" x14ac:dyDescent="0.25">
      <c r="A174" t="s">
        <v>7</v>
      </c>
      <c r="B174" t="s">
        <v>12</v>
      </c>
      <c r="C174" s="1">
        <v>43606</v>
      </c>
      <c r="D174">
        <v>2019</v>
      </c>
      <c r="E174">
        <v>5</v>
      </c>
      <c r="F174">
        <v>0</v>
      </c>
      <c r="G174" t="s">
        <v>9</v>
      </c>
    </row>
    <row r="175" spans="1:7" x14ac:dyDescent="0.25">
      <c r="A175" t="s">
        <v>7</v>
      </c>
      <c r="B175" t="s">
        <v>12</v>
      </c>
      <c r="C175" s="1">
        <v>43610</v>
      </c>
      <c r="D175">
        <v>2019</v>
      </c>
      <c r="E175">
        <v>5</v>
      </c>
      <c r="F175">
        <v>0</v>
      </c>
      <c r="G175" t="s">
        <v>9</v>
      </c>
    </row>
    <row r="176" spans="1:7" x14ac:dyDescent="0.25">
      <c r="A176" t="s">
        <v>7</v>
      </c>
      <c r="B176" t="s">
        <v>12</v>
      </c>
      <c r="C176" s="1">
        <v>43612</v>
      </c>
      <c r="D176">
        <v>2019</v>
      </c>
      <c r="E176">
        <v>5</v>
      </c>
      <c r="F176">
        <v>0.21299673599999999</v>
      </c>
      <c r="G176" t="s">
        <v>9</v>
      </c>
    </row>
    <row r="177" spans="1:7" x14ac:dyDescent="0.25">
      <c r="A177" t="s">
        <v>7</v>
      </c>
      <c r="B177" t="s">
        <v>12</v>
      </c>
      <c r="C177" s="1">
        <v>43614</v>
      </c>
      <c r="D177">
        <v>2019</v>
      </c>
      <c r="E177">
        <v>5</v>
      </c>
      <c r="F177">
        <v>15.96364784</v>
      </c>
      <c r="G177" t="s">
        <v>9</v>
      </c>
    </row>
    <row r="178" spans="1:7" x14ac:dyDescent="0.25">
      <c r="A178" t="s">
        <v>7</v>
      </c>
      <c r="B178" t="s">
        <v>12</v>
      </c>
      <c r="C178" s="1">
        <v>43619</v>
      </c>
      <c r="D178">
        <v>2019</v>
      </c>
      <c r="E178">
        <v>6</v>
      </c>
      <c r="F178">
        <v>8.3926877980000008</v>
      </c>
      <c r="G178" t="s">
        <v>9</v>
      </c>
    </row>
    <row r="179" spans="1:7" x14ac:dyDescent="0.25">
      <c r="A179" t="s">
        <v>7</v>
      </c>
      <c r="B179" t="s">
        <v>12</v>
      </c>
      <c r="C179" s="1">
        <v>43620</v>
      </c>
      <c r="D179">
        <v>2019</v>
      </c>
      <c r="E179">
        <v>6</v>
      </c>
      <c r="F179">
        <v>0</v>
      </c>
      <c r="G179" t="s">
        <v>9</v>
      </c>
    </row>
    <row r="180" spans="1:7" x14ac:dyDescent="0.25">
      <c r="A180" t="s">
        <v>7</v>
      </c>
      <c r="B180" t="s">
        <v>12</v>
      </c>
      <c r="C180" s="1">
        <v>43623</v>
      </c>
      <c r="D180">
        <v>2019</v>
      </c>
      <c r="E180">
        <v>6</v>
      </c>
      <c r="F180">
        <v>0</v>
      </c>
      <c r="G180" t="s">
        <v>9</v>
      </c>
    </row>
    <row r="181" spans="1:7" x14ac:dyDescent="0.25">
      <c r="A181" t="s">
        <v>7</v>
      </c>
      <c r="B181" t="s">
        <v>12</v>
      </c>
      <c r="C181" s="1">
        <v>43628</v>
      </c>
      <c r="D181">
        <v>2019</v>
      </c>
      <c r="E181">
        <v>6</v>
      </c>
      <c r="F181">
        <v>57.169486999999997</v>
      </c>
      <c r="G181" t="s">
        <v>9</v>
      </c>
    </row>
    <row r="182" spans="1:7" x14ac:dyDescent="0.25">
      <c r="A182" t="s">
        <v>7</v>
      </c>
      <c r="B182" t="s">
        <v>12</v>
      </c>
      <c r="C182" s="1">
        <v>43634</v>
      </c>
      <c r="D182">
        <v>2019</v>
      </c>
      <c r="E182">
        <v>6</v>
      </c>
      <c r="F182">
        <v>1.321480513</v>
      </c>
      <c r="G182" t="s">
        <v>9</v>
      </c>
    </row>
    <row r="183" spans="1:7" x14ac:dyDescent="0.25">
      <c r="A183" t="s">
        <v>7</v>
      </c>
      <c r="B183" t="s">
        <v>12</v>
      </c>
      <c r="C183" s="1">
        <v>43637</v>
      </c>
      <c r="D183">
        <v>2019</v>
      </c>
      <c r="E183">
        <v>6</v>
      </c>
      <c r="F183">
        <v>20.46828842</v>
      </c>
      <c r="G183" t="s">
        <v>9</v>
      </c>
    </row>
    <row r="184" spans="1:7" x14ac:dyDescent="0.25">
      <c r="A184" t="s">
        <v>7</v>
      </c>
      <c r="B184" t="s">
        <v>12</v>
      </c>
      <c r="C184" s="1">
        <v>43638</v>
      </c>
      <c r="D184">
        <v>2019</v>
      </c>
      <c r="E184">
        <v>6</v>
      </c>
      <c r="F184">
        <v>74.716789250000005</v>
      </c>
      <c r="G184" t="s">
        <v>9</v>
      </c>
    </row>
    <row r="185" spans="1:7" x14ac:dyDescent="0.25">
      <c r="A185" t="s">
        <v>7</v>
      </c>
      <c r="B185" t="s">
        <v>12</v>
      </c>
      <c r="C185" s="1">
        <v>43643</v>
      </c>
      <c r="D185">
        <v>2019</v>
      </c>
      <c r="E185">
        <v>6</v>
      </c>
      <c r="F185">
        <v>2.8013672829999998</v>
      </c>
      <c r="G185" t="s">
        <v>9</v>
      </c>
    </row>
    <row r="186" spans="1:7" x14ac:dyDescent="0.25">
      <c r="A186" t="s">
        <v>7</v>
      </c>
      <c r="B186" t="s">
        <v>12</v>
      </c>
      <c r="C186" s="1">
        <v>43646</v>
      </c>
      <c r="D186">
        <v>2019</v>
      </c>
      <c r="E186">
        <v>6</v>
      </c>
      <c r="F186">
        <v>2.2774467469999999</v>
      </c>
      <c r="G186" t="s">
        <v>9</v>
      </c>
    </row>
    <row r="187" spans="1:7" x14ac:dyDescent="0.25">
      <c r="A187" t="s">
        <v>7</v>
      </c>
      <c r="B187" t="s">
        <v>12</v>
      </c>
      <c r="C187" s="1">
        <v>43657</v>
      </c>
      <c r="D187">
        <v>2019</v>
      </c>
      <c r="E187">
        <v>7</v>
      </c>
      <c r="F187">
        <v>46.342559809999997</v>
      </c>
      <c r="G187" t="s">
        <v>9</v>
      </c>
    </row>
    <row r="188" spans="1:7" x14ac:dyDescent="0.25">
      <c r="A188" t="s">
        <v>7</v>
      </c>
      <c r="B188" t="s">
        <v>12</v>
      </c>
      <c r="C188" s="1">
        <v>43662</v>
      </c>
      <c r="D188">
        <v>2019</v>
      </c>
      <c r="E188">
        <v>7</v>
      </c>
      <c r="F188">
        <v>12.892506600000001</v>
      </c>
      <c r="G188" t="s">
        <v>9</v>
      </c>
    </row>
    <row r="189" spans="1:7" x14ac:dyDescent="0.25">
      <c r="A189" t="s">
        <v>7</v>
      </c>
      <c r="B189" t="s">
        <v>12</v>
      </c>
      <c r="C189" s="1">
        <v>43670</v>
      </c>
      <c r="D189">
        <v>2019</v>
      </c>
      <c r="E189">
        <v>7</v>
      </c>
      <c r="F189">
        <v>21.380325320000001</v>
      </c>
      <c r="G189" t="s">
        <v>9</v>
      </c>
    </row>
    <row r="190" spans="1:7" x14ac:dyDescent="0.25">
      <c r="A190" t="s">
        <v>7</v>
      </c>
      <c r="B190" t="s">
        <v>12</v>
      </c>
      <c r="C190" s="1">
        <v>43679</v>
      </c>
      <c r="D190">
        <v>2019</v>
      </c>
      <c r="E190">
        <v>8</v>
      </c>
      <c r="F190">
        <v>1.1715058089999999</v>
      </c>
      <c r="G190" t="s">
        <v>9</v>
      </c>
    </row>
    <row r="191" spans="1:7" x14ac:dyDescent="0.25">
      <c r="A191" t="s">
        <v>7</v>
      </c>
      <c r="B191" t="s">
        <v>12</v>
      </c>
      <c r="C191" s="1">
        <v>43680</v>
      </c>
      <c r="D191">
        <v>2019</v>
      </c>
      <c r="E191">
        <v>8</v>
      </c>
      <c r="F191">
        <v>10.10232162</v>
      </c>
      <c r="G191" t="s">
        <v>9</v>
      </c>
    </row>
    <row r="192" spans="1:7" x14ac:dyDescent="0.25">
      <c r="A192" t="s">
        <v>7</v>
      </c>
      <c r="B192" t="s">
        <v>12</v>
      </c>
      <c r="C192" s="1">
        <v>43686</v>
      </c>
      <c r="D192">
        <v>2019</v>
      </c>
      <c r="E192">
        <v>8</v>
      </c>
      <c r="F192">
        <v>220.87652589999999</v>
      </c>
      <c r="G192" t="s">
        <v>9</v>
      </c>
    </row>
    <row r="193" spans="1:7" x14ac:dyDescent="0.25">
      <c r="A193" t="s">
        <v>7</v>
      </c>
      <c r="B193" t="s">
        <v>12</v>
      </c>
      <c r="C193" s="1">
        <v>43688</v>
      </c>
      <c r="D193">
        <v>2019</v>
      </c>
      <c r="E193">
        <v>8</v>
      </c>
      <c r="F193">
        <v>132.31614690000001</v>
      </c>
      <c r="G193" t="s">
        <v>9</v>
      </c>
    </row>
    <row r="194" spans="1:7" x14ac:dyDescent="0.25">
      <c r="A194" t="s">
        <v>7</v>
      </c>
      <c r="B194" t="s">
        <v>12</v>
      </c>
      <c r="C194" s="1">
        <v>43690</v>
      </c>
      <c r="D194">
        <v>2019</v>
      </c>
      <c r="E194">
        <v>8</v>
      </c>
      <c r="F194">
        <v>25.064496989999999</v>
      </c>
      <c r="G194" t="s">
        <v>9</v>
      </c>
    </row>
    <row r="195" spans="1:7" x14ac:dyDescent="0.25">
      <c r="A195" t="s">
        <v>7</v>
      </c>
      <c r="B195" t="s">
        <v>12</v>
      </c>
      <c r="C195" s="1">
        <v>43691</v>
      </c>
      <c r="D195">
        <v>2019</v>
      </c>
      <c r="E195">
        <v>8</v>
      </c>
      <c r="F195">
        <v>58.250457760000003</v>
      </c>
      <c r="G195" t="s">
        <v>9</v>
      </c>
    </row>
    <row r="196" spans="1:7" x14ac:dyDescent="0.25">
      <c r="A196" t="s">
        <v>7</v>
      </c>
      <c r="B196" t="s">
        <v>12</v>
      </c>
      <c r="C196" s="1">
        <v>43693</v>
      </c>
      <c r="D196">
        <v>2019</v>
      </c>
      <c r="E196">
        <v>8</v>
      </c>
      <c r="F196">
        <v>10.37235832</v>
      </c>
      <c r="G196" t="s">
        <v>9</v>
      </c>
    </row>
    <row r="197" spans="1:7" x14ac:dyDescent="0.25">
      <c r="A197" t="s">
        <v>7</v>
      </c>
      <c r="B197" t="s">
        <v>12</v>
      </c>
      <c r="C197" s="1">
        <v>43696</v>
      </c>
      <c r="D197">
        <v>2019</v>
      </c>
      <c r="E197">
        <v>8</v>
      </c>
      <c r="F197">
        <v>5.0098295210000003</v>
      </c>
      <c r="G197" t="s">
        <v>9</v>
      </c>
    </row>
    <row r="198" spans="1:7" x14ac:dyDescent="0.25">
      <c r="A198" t="s">
        <v>7</v>
      </c>
      <c r="B198" t="s">
        <v>12</v>
      </c>
      <c r="C198" s="1">
        <v>43702</v>
      </c>
      <c r="D198">
        <v>2019</v>
      </c>
      <c r="E198">
        <v>8</v>
      </c>
      <c r="F198">
        <v>6.7070622440000003</v>
      </c>
      <c r="G198" t="s">
        <v>9</v>
      </c>
    </row>
    <row r="199" spans="1:7" x14ac:dyDescent="0.25">
      <c r="A199" t="s">
        <v>7</v>
      </c>
      <c r="B199" t="s">
        <v>12</v>
      </c>
      <c r="C199" s="1">
        <v>43707</v>
      </c>
      <c r="D199">
        <v>2019</v>
      </c>
      <c r="E199">
        <v>8</v>
      </c>
      <c r="F199">
        <v>57.486557009999999</v>
      </c>
      <c r="G199" t="s">
        <v>9</v>
      </c>
    </row>
    <row r="200" spans="1:7" x14ac:dyDescent="0.25">
      <c r="A200" t="s">
        <v>7</v>
      </c>
      <c r="B200" t="s">
        <v>12</v>
      </c>
      <c r="C200" s="1">
        <v>43708</v>
      </c>
      <c r="D200">
        <v>2019</v>
      </c>
      <c r="E200">
        <v>8</v>
      </c>
      <c r="F200">
        <v>23.29553413</v>
      </c>
      <c r="G200" t="s">
        <v>9</v>
      </c>
    </row>
    <row r="201" spans="1:7" x14ac:dyDescent="0.25">
      <c r="A201" t="s">
        <v>7</v>
      </c>
      <c r="B201" t="s">
        <v>12</v>
      </c>
      <c r="C201" s="1">
        <v>43706</v>
      </c>
      <c r="D201">
        <v>2019</v>
      </c>
      <c r="E201">
        <v>8</v>
      </c>
      <c r="F201">
        <v>29.300416949999999</v>
      </c>
      <c r="G201" t="s">
        <v>9</v>
      </c>
    </row>
    <row r="202" spans="1:7" x14ac:dyDescent="0.25">
      <c r="A202" t="s">
        <v>7</v>
      </c>
      <c r="B202" t="s">
        <v>12</v>
      </c>
      <c r="C202" s="1">
        <v>43711</v>
      </c>
      <c r="D202">
        <v>2019</v>
      </c>
      <c r="E202">
        <v>9</v>
      </c>
      <c r="F202">
        <v>17.76303291</v>
      </c>
      <c r="G202" t="s">
        <v>9</v>
      </c>
    </row>
    <row r="203" spans="1:7" x14ac:dyDescent="0.25">
      <c r="A203" t="s">
        <v>7</v>
      </c>
      <c r="B203" t="s">
        <v>12</v>
      </c>
      <c r="C203" s="1">
        <v>43714</v>
      </c>
      <c r="D203">
        <v>2019</v>
      </c>
      <c r="E203">
        <v>9</v>
      </c>
      <c r="F203">
        <v>33.625247960000003</v>
      </c>
      <c r="G203" t="s">
        <v>9</v>
      </c>
    </row>
    <row r="204" spans="1:7" x14ac:dyDescent="0.25">
      <c r="A204" t="s">
        <v>7</v>
      </c>
      <c r="B204" t="s">
        <v>12</v>
      </c>
      <c r="C204" s="1">
        <v>43728</v>
      </c>
      <c r="D204">
        <v>2019</v>
      </c>
      <c r="E204">
        <v>9</v>
      </c>
      <c r="F204">
        <v>4.537446976</v>
      </c>
      <c r="G204" t="s">
        <v>9</v>
      </c>
    </row>
    <row r="205" spans="1:7" x14ac:dyDescent="0.25">
      <c r="A205" t="s">
        <v>7</v>
      </c>
      <c r="B205" t="s">
        <v>12</v>
      </c>
      <c r="C205" s="1">
        <v>43732</v>
      </c>
      <c r="D205">
        <v>2019</v>
      </c>
      <c r="E205">
        <v>9</v>
      </c>
      <c r="F205">
        <v>5.3889269830000002</v>
      </c>
      <c r="G205" t="s">
        <v>9</v>
      </c>
    </row>
    <row r="206" spans="1:7" x14ac:dyDescent="0.25">
      <c r="A206" t="s">
        <v>7</v>
      </c>
      <c r="B206" t="s">
        <v>12</v>
      </c>
      <c r="C206" s="1">
        <v>43735</v>
      </c>
      <c r="D206">
        <v>2019</v>
      </c>
      <c r="E206">
        <v>9</v>
      </c>
      <c r="F206">
        <v>6.6561098100000002</v>
      </c>
      <c r="G206" t="s">
        <v>9</v>
      </c>
    </row>
    <row r="207" spans="1:7" x14ac:dyDescent="0.25">
      <c r="A207" t="s">
        <v>7</v>
      </c>
      <c r="B207" t="s">
        <v>12</v>
      </c>
      <c r="C207" s="1">
        <v>43737</v>
      </c>
      <c r="D207">
        <v>2019</v>
      </c>
      <c r="E207">
        <v>9</v>
      </c>
      <c r="F207">
        <v>4.641911983</v>
      </c>
      <c r="G207" t="s">
        <v>9</v>
      </c>
    </row>
    <row r="208" spans="1:7" x14ac:dyDescent="0.25">
      <c r="A208" t="s">
        <v>7</v>
      </c>
      <c r="B208" t="s">
        <v>12</v>
      </c>
      <c r="C208" s="1">
        <v>43738</v>
      </c>
      <c r="D208">
        <v>2019</v>
      </c>
      <c r="E208">
        <v>9</v>
      </c>
      <c r="F208">
        <v>0.21299673599999999</v>
      </c>
      <c r="G208" t="s">
        <v>9</v>
      </c>
    </row>
    <row r="209" spans="1:7" x14ac:dyDescent="0.25">
      <c r="A209" t="s">
        <v>7</v>
      </c>
      <c r="B209" t="s">
        <v>12</v>
      </c>
      <c r="C209" s="1">
        <v>43740</v>
      </c>
      <c r="D209">
        <v>2019</v>
      </c>
      <c r="E209">
        <v>10</v>
      </c>
      <c r="F209">
        <v>0.70290350899999998</v>
      </c>
      <c r="G209" t="s">
        <v>9</v>
      </c>
    </row>
    <row r="210" spans="1:7" x14ac:dyDescent="0.25">
      <c r="A210" t="s">
        <v>7</v>
      </c>
      <c r="B210" t="s">
        <v>12</v>
      </c>
      <c r="C210" s="1">
        <v>43743</v>
      </c>
      <c r="D210">
        <v>2019</v>
      </c>
      <c r="E210">
        <v>10</v>
      </c>
      <c r="F210">
        <v>0</v>
      </c>
      <c r="G210" t="s">
        <v>9</v>
      </c>
    </row>
    <row r="211" spans="1:7" x14ac:dyDescent="0.25">
      <c r="A211" t="s">
        <v>7</v>
      </c>
      <c r="B211" t="s">
        <v>12</v>
      </c>
      <c r="C211" s="1">
        <v>43746</v>
      </c>
      <c r="D211">
        <v>2019</v>
      </c>
      <c r="E211">
        <v>10</v>
      </c>
      <c r="F211">
        <v>3.9227428440000001</v>
      </c>
      <c r="G211" t="s">
        <v>9</v>
      </c>
    </row>
    <row r="212" spans="1:7" x14ac:dyDescent="0.25">
      <c r="A212" t="s">
        <v>7</v>
      </c>
      <c r="B212" t="s">
        <v>12</v>
      </c>
      <c r="C212" s="1">
        <v>43750</v>
      </c>
      <c r="D212">
        <v>2019</v>
      </c>
      <c r="E212">
        <v>10</v>
      </c>
      <c r="F212">
        <v>28.713603970000001</v>
      </c>
      <c r="G212" t="s">
        <v>9</v>
      </c>
    </row>
    <row r="213" spans="1:7" x14ac:dyDescent="0.25">
      <c r="A213" t="s">
        <v>7</v>
      </c>
      <c r="B213" t="s">
        <v>12</v>
      </c>
      <c r="C213" s="1">
        <v>43762</v>
      </c>
      <c r="D213">
        <v>2019</v>
      </c>
      <c r="E213">
        <v>10</v>
      </c>
      <c r="F213">
        <v>61.120574949999998</v>
      </c>
      <c r="G213" t="s">
        <v>9</v>
      </c>
    </row>
    <row r="214" spans="1:7" x14ac:dyDescent="0.25">
      <c r="A214" t="s">
        <v>7</v>
      </c>
      <c r="B214" t="s">
        <v>12</v>
      </c>
      <c r="C214" s="1">
        <v>43773</v>
      </c>
      <c r="D214">
        <v>2019</v>
      </c>
      <c r="E214">
        <v>11</v>
      </c>
      <c r="F214">
        <v>0</v>
      </c>
      <c r="G214" t="s">
        <v>9</v>
      </c>
    </row>
    <row r="215" spans="1:7" x14ac:dyDescent="0.25">
      <c r="A215" t="s">
        <v>7</v>
      </c>
      <c r="B215" t="s">
        <v>12</v>
      </c>
      <c r="C215" s="1">
        <v>43780</v>
      </c>
      <c r="D215">
        <v>2019</v>
      </c>
      <c r="E215">
        <v>11</v>
      </c>
      <c r="F215">
        <v>8.2797632219999997</v>
      </c>
      <c r="G215" t="s">
        <v>9</v>
      </c>
    </row>
    <row r="216" spans="1:7" x14ac:dyDescent="0.25">
      <c r="A216" t="s">
        <v>7</v>
      </c>
      <c r="B216" t="s">
        <v>12</v>
      </c>
      <c r="C216" s="1">
        <v>43786</v>
      </c>
      <c r="D216">
        <v>2019</v>
      </c>
      <c r="E216">
        <v>11</v>
      </c>
      <c r="F216">
        <v>0.46859279300000001</v>
      </c>
      <c r="G216" t="s">
        <v>9</v>
      </c>
    </row>
    <row r="217" spans="1:7" x14ac:dyDescent="0.25">
      <c r="A217" t="s">
        <v>7</v>
      </c>
      <c r="B217" t="s">
        <v>12</v>
      </c>
      <c r="C217" s="1">
        <v>43798</v>
      </c>
      <c r="D217">
        <v>2019</v>
      </c>
      <c r="E217">
        <v>11</v>
      </c>
      <c r="F217">
        <v>0</v>
      </c>
      <c r="G217" t="s">
        <v>9</v>
      </c>
    </row>
    <row r="218" spans="1:7" x14ac:dyDescent="0.25">
      <c r="A218" t="s">
        <v>7</v>
      </c>
      <c r="B218" t="s">
        <v>12</v>
      </c>
      <c r="C218" s="1">
        <v>43811</v>
      </c>
      <c r="D218">
        <v>2019</v>
      </c>
      <c r="E218">
        <v>12</v>
      </c>
      <c r="F218">
        <v>0</v>
      </c>
      <c r="G218" t="s">
        <v>9</v>
      </c>
    </row>
    <row r="219" spans="1:7" x14ac:dyDescent="0.25">
      <c r="A219" t="s">
        <v>7</v>
      </c>
      <c r="B219" t="s">
        <v>12</v>
      </c>
      <c r="C219" s="1">
        <v>43828</v>
      </c>
      <c r="D219">
        <v>2019</v>
      </c>
      <c r="E219">
        <v>12</v>
      </c>
      <c r="F219">
        <v>0</v>
      </c>
      <c r="G219" t="s">
        <v>9</v>
      </c>
    </row>
    <row r="220" spans="1:7" x14ac:dyDescent="0.25">
      <c r="A220" t="s">
        <v>7</v>
      </c>
      <c r="B220" t="s">
        <v>8</v>
      </c>
      <c r="C220" s="1">
        <v>43468</v>
      </c>
      <c r="D220">
        <v>2019</v>
      </c>
      <c r="E220">
        <v>1</v>
      </c>
      <c r="F220">
        <v>0</v>
      </c>
      <c r="G220" t="s">
        <v>9</v>
      </c>
    </row>
    <row r="221" spans="1:7" x14ac:dyDescent="0.25">
      <c r="A221" t="s">
        <v>7</v>
      </c>
      <c r="B221" t="s">
        <v>8</v>
      </c>
      <c r="C221" s="1">
        <v>43471</v>
      </c>
      <c r="D221">
        <v>2019</v>
      </c>
      <c r="E221">
        <v>1</v>
      </c>
      <c r="F221">
        <v>0</v>
      </c>
      <c r="G221" t="s">
        <v>9</v>
      </c>
    </row>
    <row r="222" spans="1:7" x14ac:dyDescent="0.25">
      <c r="A222" t="s">
        <v>7</v>
      </c>
      <c r="B222" t="s">
        <v>8</v>
      </c>
      <c r="C222" s="1">
        <v>43474</v>
      </c>
      <c r="D222">
        <v>2019</v>
      </c>
      <c r="E222">
        <v>1</v>
      </c>
      <c r="F222">
        <v>0</v>
      </c>
      <c r="G222" t="s">
        <v>9</v>
      </c>
    </row>
    <row r="223" spans="1:7" x14ac:dyDescent="0.25">
      <c r="A223" t="s">
        <v>7</v>
      </c>
      <c r="B223" t="s">
        <v>8</v>
      </c>
      <c r="C223" s="1">
        <v>43481</v>
      </c>
      <c r="D223">
        <v>2019</v>
      </c>
      <c r="E223">
        <v>1</v>
      </c>
      <c r="F223">
        <v>0</v>
      </c>
      <c r="G223" t="s">
        <v>9</v>
      </c>
    </row>
    <row r="224" spans="1:7" x14ac:dyDescent="0.25">
      <c r="A224" t="s">
        <v>7</v>
      </c>
      <c r="B224" t="s">
        <v>8</v>
      </c>
      <c r="C224" s="1">
        <v>43485</v>
      </c>
      <c r="D224">
        <v>2019</v>
      </c>
      <c r="E224">
        <v>1</v>
      </c>
      <c r="F224">
        <v>0</v>
      </c>
      <c r="G224" t="s">
        <v>9</v>
      </c>
    </row>
    <row r="225" spans="1:7" x14ac:dyDescent="0.25">
      <c r="A225" t="s">
        <v>7</v>
      </c>
      <c r="B225" t="s">
        <v>8</v>
      </c>
      <c r="C225" s="1">
        <v>43488</v>
      </c>
      <c r="D225">
        <v>2019</v>
      </c>
      <c r="E225">
        <v>1</v>
      </c>
      <c r="F225">
        <v>0</v>
      </c>
      <c r="G225" t="s">
        <v>9</v>
      </c>
    </row>
    <row r="226" spans="1:7" x14ac:dyDescent="0.25">
      <c r="A226" t="s">
        <v>7</v>
      </c>
      <c r="B226" t="s">
        <v>8</v>
      </c>
      <c r="C226" s="1">
        <v>43489</v>
      </c>
      <c r="D226">
        <v>2019</v>
      </c>
      <c r="E226">
        <v>1</v>
      </c>
      <c r="F226">
        <v>0</v>
      </c>
      <c r="G226" t="s">
        <v>9</v>
      </c>
    </row>
    <row r="227" spans="1:7" x14ac:dyDescent="0.25">
      <c r="A227" t="s">
        <v>7</v>
      </c>
      <c r="B227" t="s">
        <v>8</v>
      </c>
      <c r="C227" s="1">
        <v>43499</v>
      </c>
      <c r="D227">
        <v>2019</v>
      </c>
      <c r="E227">
        <v>2</v>
      </c>
      <c r="F227">
        <v>0</v>
      </c>
      <c r="G227" t="s">
        <v>9</v>
      </c>
    </row>
    <row r="228" spans="1:7" x14ac:dyDescent="0.25">
      <c r="A228" t="s">
        <v>7</v>
      </c>
      <c r="B228" t="s">
        <v>8</v>
      </c>
      <c r="C228" s="1">
        <v>43506</v>
      </c>
      <c r="D228">
        <v>2019</v>
      </c>
      <c r="E228">
        <v>2</v>
      </c>
      <c r="F228">
        <v>0</v>
      </c>
      <c r="G228" t="s">
        <v>9</v>
      </c>
    </row>
    <row r="229" spans="1:7" x14ac:dyDescent="0.25">
      <c r="A229" t="s">
        <v>7</v>
      </c>
      <c r="B229" t="s">
        <v>8</v>
      </c>
      <c r="C229" s="1">
        <v>43512</v>
      </c>
      <c r="D229">
        <v>2019</v>
      </c>
      <c r="E229">
        <v>2</v>
      </c>
      <c r="F229">
        <v>0</v>
      </c>
      <c r="G229" t="s">
        <v>9</v>
      </c>
    </row>
    <row r="230" spans="1:7" x14ac:dyDescent="0.25">
      <c r="A230" t="s">
        <v>7</v>
      </c>
      <c r="B230" t="s">
        <v>8</v>
      </c>
      <c r="C230" s="1">
        <v>43516</v>
      </c>
      <c r="D230">
        <v>2019</v>
      </c>
      <c r="E230">
        <v>2</v>
      </c>
      <c r="F230">
        <v>0</v>
      </c>
      <c r="G230" t="s">
        <v>9</v>
      </c>
    </row>
    <row r="231" spans="1:7" x14ac:dyDescent="0.25">
      <c r="A231" t="s">
        <v>7</v>
      </c>
      <c r="B231" t="s">
        <v>8</v>
      </c>
      <c r="C231" s="1">
        <v>43524</v>
      </c>
      <c r="D231">
        <v>2019</v>
      </c>
      <c r="E231">
        <v>2</v>
      </c>
      <c r="F231">
        <v>0</v>
      </c>
      <c r="G231" t="s">
        <v>9</v>
      </c>
    </row>
    <row r="232" spans="1:7" x14ac:dyDescent="0.25">
      <c r="A232" t="s">
        <v>7</v>
      </c>
      <c r="B232" t="s">
        <v>8</v>
      </c>
      <c r="C232" s="1">
        <v>43522</v>
      </c>
      <c r="D232">
        <v>2019</v>
      </c>
      <c r="E232">
        <v>2</v>
      </c>
      <c r="F232">
        <v>0</v>
      </c>
      <c r="G232" t="s">
        <v>9</v>
      </c>
    </row>
    <row r="233" spans="1:7" x14ac:dyDescent="0.25">
      <c r="A233" t="s">
        <v>7</v>
      </c>
      <c r="B233" t="s">
        <v>8</v>
      </c>
      <c r="C233" s="1">
        <v>43529</v>
      </c>
      <c r="D233">
        <v>2019</v>
      </c>
      <c r="E233">
        <v>3</v>
      </c>
      <c r="F233">
        <v>0</v>
      </c>
      <c r="G233" t="s">
        <v>9</v>
      </c>
    </row>
    <row r="234" spans="1:7" x14ac:dyDescent="0.25">
      <c r="A234" t="s">
        <v>7</v>
      </c>
      <c r="B234" t="s">
        <v>8</v>
      </c>
      <c r="C234" s="1">
        <v>43534</v>
      </c>
      <c r="D234">
        <v>2019</v>
      </c>
      <c r="E234">
        <v>3</v>
      </c>
      <c r="F234">
        <v>0</v>
      </c>
      <c r="G234" t="s">
        <v>9</v>
      </c>
    </row>
    <row r="235" spans="1:7" x14ac:dyDescent="0.25">
      <c r="A235" t="s">
        <v>7</v>
      </c>
      <c r="B235" t="s">
        <v>8</v>
      </c>
      <c r="C235" s="1">
        <v>43538</v>
      </c>
      <c r="D235">
        <v>2019</v>
      </c>
      <c r="E235">
        <v>3</v>
      </c>
      <c r="F235">
        <v>0</v>
      </c>
      <c r="G235" t="s">
        <v>9</v>
      </c>
    </row>
    <row r="236" spans="1:7" x14ac:dyDescent="0.25">
      <c r="A236" t="s">
        <v>7</v>
      </c>
      <c r="B236" t="s">
        <v>8</v>
      </c>
      <c r="C236" s="1">
        <v>43542</v>
      </c>
      <c r="D236">
        <v>2019</v>
      </c>
      <c r="E236">
        <v>3</v>
      </c>
      <c r="F236">
        <v>0</v>
      </c>
      <c r="G236" t="s">
        <v>9</v>
      </c>
    </row>
    <row r="237" spans="1:7" x14ac:dyDescent="0.25">
      <c r="A237" t="s">
        <v>7</v>
      </c>
      <c r="B237" t="s">
        <v>8</v>
      </c>
      <c r="C237" s="1">
        <v>43550</v>
      </c>
      <c r="D237">
        <v>2019</v>
      </c>
      <c r="E237">
        <v>3</v>
      </c>
      <c r="F237">
        <v>0</v>
      </c>
      <c r="G237" t="s">
        <v>9</v>
      </c>
    </row>
    <row r="238" spans="1:7" x14ac:dyDescent="0.25">
      <c r="A238" t="s">
        <v>7</v>
      </c>
      <c r="B238" t="s">
        <v>8</v>
      </c>
      <c r="C238" s="1">
        <v>43554</v>
      </c>
      <c r="D238">
        <v>2019</v>
      </c>
      <c r="E238">
        <v>3</v>
      </c>
      <c r="F238">
        <v>0</v>
      </c>
      <c r="G238" t="s">
        <v>9</v>
      </c>
    </row>
    <row r="239" spans="1:7" x14ac:dyDescent="0.25">
      <c r="A239" t="s">
        <v>7</v>
      </c>
      <c r="B239" t="s">
        <v>8</v>
      </c>
      <c r="C239" s="1">
        <v>43555</v>
      </c>
      <c r="D239">
        <v>2019</v>
      </c>
      <c r="E239">
        <v>3</v>
      </c>
      <c r="F239">
        <v>0</v>
      </c>
      <c r="G239" t="s">
        <v>9</v>
      </c>
    </row>
    <row r="240" spans="1:7" x14ac:dyDescent="0.25">
      <c r="A240" t="s">
        <v>7</v>
      </c>
      <c r="B240" t="s">
        <v>8</v>
      </c>
      <c r="C240" s="1">
        <v>43559</v>
      </c>
      <c r="D240">
        <v>2019</v>
      </c>
      <c r="E240">
        <v>4</v>
      </c>
      <c r="F240">
        <v>0</v>
      </c>
      <c r="G240" t="s">
        <v>9</v>
      </c>
    </row>
    <row r="241" spans="1:7" x14ac:dyDescent="0.25">
      <c r="A241" t="s">
        <v>7</v>
      </c>
      <c r="B241" t="s">
        <v>8</v>
      </c>
      <c r="C241" s="1">
        <v>43577</v>
      </c>
      <c r="D241">
        <v>2019</v>
      </c>
      <c r="E241">
        <v>4</v>
      </c>
      <c r="F241">
        <v>0</v>
      </c>
      <c r="G241" t="s">
        <v>9</v>
      </c>
    </row>
    <row r="242" spans="1:7" x14ac:dyDescent="0.25">
      <c r="A242" t="s">
        <v>7</v>
      </c>
      <c r="B242" t="s">
        <v>8</v>
      </c>
      <c r="C242" s="1">
        <v>43579</v>
      </c>
      <c r="D242">
        <v>2019</v>
      </c>
      <c r="E242">
        <v>4</v>
      </c>
      <c r="F242">
        <v>0</v>
      </c>
      <c r="G242" t="s">
        <v>9</v>
      </c>
    </row>
    <row r="243" spans="1:7" x14ac:dyDescent="0.25">
      <c r="A243" t="s">
        <v>7</v>
      </c>
      <c r="B243" t="s">
        <v>8</v>
      </c>
      <c r="C243" s="1">
        <v>43583</v>
      </c>
      <c r="D243">
        <v>2019</v>
      </c>
      <c r="E243">
        <v>4</v>
      </c>
      <c r="F243">
        <v>0</v>
      </c>
      <c r="G243" t="s">
        <v>9</v>
      </c>
    </row>
    <row r="244" spans="1:7" x14ac:dyDescent="0.25">
      <c r="A244" t="s">
        <v>7</v>
      </c>
      <c r="B244" t="s">
        <v>8</v>
      </c>
      <c r="C244" s="1">
        <v>43584</v>
      </c>
      <c r="D244">
        <v>2019</v>
      </c>
      <c r="E244">
        <v>4</v>
      </c>
      <c r="F244">
        <v>0</v>
      </c>
      <c r="G244" t="s">
        <v>9</v>
      </c>
    </row>
    <row r="245" spans="1:7" x14ac:dyDescent="0.25">
      <c r="A245" t="s">
        <v>7</v>
      </c>
      <c r="B245" t="s">
        <v>8</v>
      </c>
      <c r="C245" s="1">
        <v>43600</v>
      </c>
      <c r="D245">
        <v>2019</v>
      </c>
      <c r="E245">
        <v>5</v>
      </c>
      <c r="F245">
        <v>0</v>
      </c>
      <c r="G245" t="s">
        <v>9</v>
      </c>
    </row>
    <row r="246" spans="1:7" x14ac:dyDescent="0.25">
      <c r="A246" t="s">
        <v>7</v>
      </c>
      <c r="B246" t="s">
        <v>8</v>
      </c>
      <c r="C246" s="1">
        <v>43606</v>
      </c>
      <c r="D246">
        <v>2019</v>
      </c>
      <c r="E246">
        <v>5</v>
      </c>
      <c r="F246">
        <v>0</v>
      </c>
      <c r="G246" t="s">
        <v>9</v>
      </c>
    </row>
    <row r="247" spans="1:7" x14ac:dyDescent="0.25">
      <c r="A247" t="s">
        <v>7</v>
      </c>
      <c r="B247" t="s">
        <v>8</v>
      </c>
      <c r="C247" s="1">
        <v>43607</v>
      </c>
      <c r="D247">
        <v>2019</v>
      </c>
      <c r="E247">
        <v>5</v>
      </c>
      <c r="F247">
        <v>0</v>
      </c>
      <c r="G247" t="s">
        <v>9</v>
      </c>
    </row>
    <row r="248" spans="1:7" x14ac:dyDescent="0.25">
      <c r="A248" t="s">
        <v>7</v>
      </c>
      <c r="B248" t="s">
        <v>8</v>
      </c>
      <c r="C248" s="1">
        <v>43612</v>
      </c>
      <c r="D248">
        <v>2019</v>
      </c>
      <c r="E248">
        <v>5</v>
      </c>
      <c r="F248">
        <v>0</v>
      </c>
      <c r="G248" t="s">
        <v>9</v>
      </c>
    </row>
    <row r="249" spans="1:7" x14ac:dyDescent="0.25">
      <c r="A249" t="s">
        <v>7</v>
      </c>
      <c r="B249" t="s">
        <v>8</v>
      </c>
      <c r="C249" s="1">
        <v>43613</v>
      </c>
      <c r="D249">
        <v>2019</v>
      </c>
      <c r="E249">
        <v>5</v>
      </c>
      <c r="F249">
        <v>0</v>
      </c>
      <c r="G249" t="s">
        <v>9</v>
      </c>
    </row>
    <row r="250" spans="1:7" x14ac:dyDescent="0.25">
      <c r="A250" t="s">
        <v>7</v>
      </c>
      <c r="B250" t="s">
        <v>8</v>
      </c>
      <c r="C250" s="1">
        <v>43618</v>
      </c>
      <c r="D250">
        <v>2019</v>
      </c>
      <c r="E250">
        <v>6</v>
      </c>
      <c r="F250">
        <v>0</v>
      </c>
      <c r="G250" t="s">
        <v>9</v>
      </c>
    </row>
    <row r="251" spans="1:7" x14ac:dyDescent="0.25">
      <c r="A251" t="s">
        <v>7</v>
      </c>
      <c r="B251" t="s">
        <v>8</v>
      </c>
      <c r="C251" s="1">
        <v>43630</v>
      </c>
      <c r="D251">
        <v>2019</v>
      </c>
      <c r="E251">
        <v>6</v>
      </c>
      <c r="F251">
        <v>1.92434408</v>
      </c>
      <c r="G251" t="s">
        <v>9</v>
      </c>
    </row>
    <row r="252" spans="1:7" x14ac:dyDescent="0.25">
      <c r="A252" t="s">
        <v>7</v>
      </c>
      <c r="B252" t="s">
        <v>8</v>
      </c>
      <c r="C252" s="1">
        <v>43634</v>
      </c>
      <c r="D252">
        <v>2019</v>
      </c>
      <c r="E252">
        <v>6</v>
      </c>
      <c r="F252">
        <v>0</v>
      </c>
      <c r="G252" t="s">
        <v>9</v>
      </c>
    </row>
    <row r="253" spans="1:7" x14ac:dyDescent="0.25">
      <c r="A253" t="s">
        <v>7</v>
      </c>
      <c r="B253" t="s">
        <v>8</v>
      </c>
      <c r="C253" s="1">
        <v>43641</v>
      </c>
      <c r="D253">
        <v>2019</v>
      </c>
      <c r="E253">
        <v>6</v>
      </c>
      <c r="F253">
        <v>2.7307120060000001</v>
      </c>
      <c r="G253" t="s">
        <v>9</v>
      </c>
    </row>
    <row r="254" spans="1:7" x14ac:dyDescent="0.25">
      <c r="A254" t="s">
        <v>7</v>
      </c>
      <c r="B254" t="s">
        <v>8</v>
      </c>
      <c r="C254" s="1">
        <v>43649</v>
      </c>
      <c r="D254">
        <v>2019</v>
      </c>
      <c r="E254">
        <v>7</v>
      </c>
      <c r="F254">
        <v>0</v>
      </c>
      <c r="G254" t="s">
        <v>9</v>
      </c>
    </row>
    <row r="255" spans="1:7" x14ac:dyDescent="0.25">
      <c r="A255" t="s">
        <v>7</v>
      </c>
      <c r="B255" t="s">
        <v>8</v>
      </c>
      <c r="C255" s="1">
        <v>43651</v>
      </c>
      <c r="D255">
        <v>2019</v>
      </c>
      <c r="E255">
        <v>7</v>
      </c>
      <c r="F255">
        <v>0</v>
      </c>
      <c r="G255" t="s">
        <v>9</v>
      </c>
    </row>
    <row r="256" spans="1:7" x14ac:dyDescent="0.25">
      <c r="A256" t="s">
        <v>7</v>
      </c>
      <c r="B256" t="s">
        <v>8</v>
      </c>
      <c r="C256" s="1">
        <v>43655</v>
      </c>
      <c r="D256">
        <v>2019</v>
      </c>
      <c r="E256">
        <v>7</v>
      </c>
      <c r="F256">
        <v>1.0171021000000001E-2</v>
      </c>
      <c r="G256" t="s">
        <v>9</v>
      </c>
    </row>
    <row r="257" spans="1:7" x14ac:dyDescent="0.25">
      <c r="A257" t="s">
        <v>7</v>
      </c>
      <c r="B257" t="s">
        <v>8</v>
      </c>
      <c r="C257" s="1">
        <v>43658</v>
      </c>
      <c r="D257">
        <v>2019</v>
      </c>
      <c r="E257">
        <v>7</v>
      </c>
      <c r="F257">
        <v>6.8374897570000002</v>
      </c>
      <c r="G257" t="s">
        <v>9</v>
      </c>
    </row>
    <row r="258" spans="1:7" x14ac:dyDescent="0.25">
      <c r="A258" t="s">
        <v>7</v>
      </c>
      <c r="B258" t="s">
        <v>8</v>
      </c>
      <c r="C258" s="1">
        <v>43661</v>
      </c>
      <c r="D258">
        <v>2019</v>
      </c>
      <c r="E258">
        <v>7</v>
      </c>
      <c r="F258">
        <v>0</v>
      </c>
      <c r="G258" t="s">
        <v>9</v>
      </c>
    </row>
    <row r="259" spans="1:7" x14ac:dyDescent="0.25">
      <c r="A259" t="s">
        <v>7</v>
      </c>
      <c r="B259" t="s">
        <v>8</v>
      </c>
      <c r="C259" s="1">
        <v>43664</v>
      </c>
      <c r="D259">
        <v>2019</v>
      </c>
      <c r="E259">
        <v>7</v>
      </c>
      <c r="F259">
        <v>1.1866191999999999E-2</v>
      </c>
      <c r="G259" t="s">
        <v>9</v>
      </c>
    </row>
    <row r="260" spans="1:7" x14ac:dyDescent="0.25">
      <c r="A260" t="s">
        <v>7</v>
      </c>
      <c r="B260" t="s">
        <v>8</v>
      </c>
      <c r="C260" s="1">
        <v>43671</v>
      </c>
      <c r="D260">
        <v>2019</v>
      </c>
      <c r="E260">
        <v>7</v>
      </c>
      <c r="F260">
        <v>5.9332563580000004</v>
      </c>
      <c r="G260" t="s">
        <v>9</v>
      </c>
    </row>
    <row r="261" spans="1:7" x14ac:dyDescent="0.25">
      <c r="A261" t="s">
        <v>7</v>
      </c>
      <c r="B261" t="s">
        <v>8</v>
      </c>
      <c r="C261" s="1">
        <v>43673</v>
      </c>
      <c r="D261">
        <v>2019</v>
      </c>
      <c r="E261">
        <v>7</v>
      </c>
      <c r="F261">
        <v>1.5016564080000001</v>
      </c>
      <c r="G261" t="s">
        <v>9</v>
      </c>
    </row>
    <row r="262" spans="1:7" x14ac:dyDescent="0.25">
      <c r="A262" t="s">
        <v>7</v>
      </c>
      <c r="B262" t="s">
        <v>8</v>
      </c>
      <c r="C262" s="1">
        <v>43678</v>
      </c>
      <c r="D262">
        <v>2019</v>
      </c>
      <c r="E262">
        <v>8</v>
      </c>
      <c r="F262">
        <v>0</v>
      </c>
      <c r="G262" t="s">
        <v>9</v>
      </c>
    </row>
    <row r="263" spans="1:7" x14ac:dyDescent="0.25">
      <c r="A263" t="s">
        <v>7</v>
      </c>
      <c r="B263" t="s">
        <v>8</v>
      </c>
      <c r="C263" s="1">
        <v>43680</v>
      </c>
      <c r="D263">
        <v>2019</v>
      </c>
      <c r="E263">
        <v>8</v>
      </c>
      <c r="F263">
        <v>0</v>
      </c>
      <c r="G263" t="s">
        <v>9</v>
      </c>
    </row>
    <row r="264" spans="1:7" x14ac:dyDescent="0.25">
      <c r="A264" t="s">
        <v>7</v>
      </c>
      <c r="B264" t="s">
        <v>8</v>
      </c>
      <c r="C264" s="1">
        <v>43681</v>
      </c>
      <c r="D264">
        <v>2019</v>
      </c>
      <c r="E264">
        <v>8</v>
      </c>
      <c r="F264">
        <v>0</v>
      </c>
      <c r="G264" t="s">
        <v>9</v>
      </c>
    </row>
    <row r="265" spans="1:7" x14ac:dyDescent="0.25">
      <c r="A265" t="s">
        <v>7</v>
      </c>
      <c r="B265" t="s">
        <v>8</v>
      </c>
      <c r="C265" s="1">
        <v>43682</v>
      </c>
      <c r="D265">
        <v>2019</v>
      </c>
      <c r="E265">
        <v>8</v>
      </c>
      <c r="F265">
        <v>0</v>
      </c>
      <c r="G265" t="s">
        <v>9</v>
      </c>
    </row>
    <row r="266" spans="1:7" x14ac:dyDescent="0.25">
      <c r="A266" t="s">
        <v>7</v>
      </c>
      <c r="B266" t="s">
        <v>8</v>
      </c>
      <c r="C266" s="1">
        <v>43687</v>
      </c>
      <c r="D266">
        <v>2019</v>
      </c>
      <c r="E266">
        <v>8</v>
      </c>
      <c r="F266">
        <v>0</v>
      </c>
      <c r="G266" t="s">
        <v>9</v>
      </c>
    </row>
    <row r="267" spans="1:7" x14ac:dyDescent="0.25">
      <c r="A267" t="s">
        <v>7</v>
      </c>
      <c r="B267" t="s">
        <v>8</v>
      </c>
      <c r="C267" s="1">
        <v>43704</v>
      </c>
      <c r="D267">
        <v>2019</v>
      </c>
      <c r="E267">
        <v>8</v>
      </c>
      <c r="F267">
        <v>0</v>
      </c>
      <c r="G267" t="s">
        <v>9</v>
      </c>
    </row>
    <row r="268" spans="1:7" x14ac:dyDescent="0.25">
      <c r="A268" t="s">
        <v>7</v>
      </c>
      <c r="B268" t="s">
        <v>8</v>
      </c>
      <c r="C268" s="1">
        <v>43708</v>
      </c>
      <c r="D268">
        <v>2019</v>
      </c>
      <c r="E268">
        <v>8</v>
      </c>
      <c r="F268">
        <v>0.461226107</v>
      </c>
      <c r="G268" t="s">
        <v>9</v>
      </c>
    </row>
    <row r="269" spans="1:7" x14ac:dyDescent="0.25">
      <c r="A269" t="s">
        <v>7</v>
      </c>
      <c r="B269" t="s">
        <v>8</v>
      </c>
      <c r="C269" s="1">
        <v>43714</v>
      </c>
      <c r="D269">
        <v>2019</v>
      </c>
      <c r="E269">
        <v>9</v>
      </c>
      <c r="F269">
        <v>0</v>
      </c>
      <c r="G269" t="s">
        <v>9</v>
      </c>
    </row>
    <row r="270" spans="1:7" x14ac:dyDescent="0.25">
      <c r="A270" t="s">
        <v>7</v>
      </c>
      <c r="B270" t="s">
        <v>8</v>
      </c>
      <c r="C270" s="1">
        <v>43715</v>
      </c>
      <c r="D270">
        <v>2019</v>
      </c>
      <c r="E270">
        <v>9</v>
      </c>
      <c r="F270">
        <v>5.2936508330000001</v>
      </c>
      <c r="G270" t="s">
        <v>9</v>
      </c>
    </row>
    <row r="271" spans="1:7" x14ac:dyDescent="0.25">
      <c r="A271" t="s">
        <v>7</v>
      </c>
      <c r="B271" t="s">
        <v>8</v>
      </c>
      <c r="C271" s="1">
        <v>43716</v>
      </c>
      <c r="D271">
        <v>2019</v>
      </c>
      <c r="E271">
        <v>9</v>
      </c>
      <c r="F271">
        <v>0</v>
      </c>
      <c r="G271" t="s">
        <v>9</v>
      </c>
    </row>
    <row r="272" spans="1:7" x14ac:dyDescent="0.25">
      <c r="A272" t="s">
        <v>7</v>
      </c>
      <c r="B272" t="s">
        <v>8</v>
      </c>
      <c r="C272" s="1">
        <v>43717</v>
      </c>
      <c r="D272">
        <v>2019</v>
      </c>
      <c r="E272">
        <v>9</v>
      </c>
      <c r="F272">
        <v>0</v>
      </c>
      <c r="G272" t="s">
        <v>9</v>
      </c>
    </row>
    <row r="273" spans="1:7" x14ac:dyDescent="0.25">
      <c r="A273" t="s">
        <v>7</v>
      </c>
      <c r="B273" t="s">
        <v>8</v>
      </c>
      <c r="C273" s="1">
        <v>43719</v>
      </c>
      <c r="D273">
        <v>2019</v>
      </c>
      <c r="E273">
        <v>9</v>
      </c>
      <c r="F273">
        <v>5.0027205329999997</v>
      </c>
      <c r="G273" t="s">
        <v>9</v>
      </c>
    </row>
    <row r="274" spans="1:7" x14ac:dyDescent="0.25">
      <c r="A274" t="s">
        <v>7</v>
      </c>
      <c r="B274" t="s">
        <v>8</v>
      </c>
      <c r="C274" s="1">
        <v>43721</v>
      </c>
      <c r="D274">
        <v>2019</v>
      </c>
      <c r="E274">
        <v>9</v>
      </c>
      <c r="F274">
        <v>2.014375019</v>
      </c>
      <c r="G274" t="s">
        <v>9</v>
      </c>
    </row>
    <row r="275" spans="1:7" x14ac:dyDescent="0.25">
      <c r="A275" t="s">
        <v>7</v>
      </c>
      <c r="B275" t="s">
        <v>8</v>
      </c>
      <c r="C275" s="1">
        <v>43722</v>
      </c>
      <c r="D275">
        <v>2019</v>
      </c>
      <c r="E275">
        <v>9</v>
      </c>
      <c r="F275">
        <v>19.559510280000001</v>
      </c>
      <c r="G275" t="s">
        <v>9</v>
      </c>
    </row>
    <row r="276" spans="1:7" x14ac:dyDescent="0.25">
      <c r="A276" t="s">
        <v>7</v>
      </c>
      <c r="B276" t="s">
        <v>8</v>
      </c>
      <c r="C276" s="1">
        <v>43725</v>
      </c>
      <c r="D276">
        <v>2019</v>
      </c>
      <c r="E276">
        <v>9</v>
      </c>
      <c r="F276">
        <v>6.5319488879999996</v>
      </c>
      <c r="G276" t="s">
        <v>9</v>
      </c>
    </row>
    <row r="277" spans="1:7" x14ac:dyDescent="0.25">
      <c r="A277" t="s">
        <v>7</v>
      </c>
      <c r="B277" t="s">
        <v>8</v>
      </c>
      <c r="C277" s="1">
        <v>43726</v>
      </c>
      <c r="D277">
        <v>2019</v>
      </c>
      <c r="E277">
        <v>9</v>
      </c>
      <c r="F277">
        <v>11.545553569999999</v>
      </c>
      <c r="G277" t="s">
        <v>9</v>
      </c>
    </row>
    <row r="278" spans="1:7" x14ac:dyDescent="0.25">
      <c r="A278" t="s">
        <v>7</v>
      </c>
      <c r="B278" t="s">
        <v>8</v>
      </c>
      <c r="C278" s="1">
        <v>43729</v>
      </c>
      <c r="D278">
        <v>2019</v>
      </c>
      <c r="E278">
        <v>9</v>
      </c>
      <c r="F278">
        <v>0</v>
      </c>
      <c r="G278" t="s">
        <v>9</v>
      </c>
    </row>
    <row r="279" spans="1:7" x14ac:dyDescent="0.25">
      <c r="A279" t="s">
        <v>7</v>
      </c>
      <c r="B279" t="s">
        <v>8</v>
      </c>
      <c r="C279" s="1">
        <v>43731</v>
      </c>
      <c r="D279">
        <v>2019</v>
      </c>
      <c r="E279">
        <v>9</v>
      </c>
      <c r="F279">
        <v>2.2037214999999999E-2</v>
      </c>
      <c r="G279" t="s">
        <v>9</v>
      </c>
    </row>
    <row r="280" spans="1:7" x14ac:dyDescent="0.25">
      <c r="A280" t="s">
        <v>7</v>
      </c>
      <c r="B280" t="s">
        <v>8</v>
      </c>
      <c r="C280" s="1">
        <v>43738</v>
      </c>
      <c r="D280">
        <v>2019</v>
      </c>
      <c r="E280">
        <v>9</v>
      </c>
      <c r="F280">
        <v>3.7848877879999998</v>
      </c>
      <c r="G280" t="s">
        <v>9</v>
      </c>
    </row>
    <row r="281" spans="1:7" x14ac:dyDescent="0.25">
      <c r="A281" t="s">
        <v>7</v>
      </c>
      <c r="B281" t="s">
        <v>11</v>
      </c>
      <c r="C281" s="1">
        <v>43469</v>
      </c>
      <c r="D281">
        <v>2019</v>
      </c>
      <c r="E281">
        <v>1</v>
      </c>
      <c r="F281">
        <v>0</v>
      </c>
      <c r="G281" t="s">
        <v>9</v>
      </c>
    </row>
    <row r="282" spans="1:7" x14ac:dyDescent="0.25">
      <c r="A282" t="s">
        <v>7</v>
      </c>
      <c r="B282" t="s">
        <v>11</v>
      </c>
      <c r="C282" s="1">
        <v>43472</v>
      </c>
      <c r="D282">
        <v>2019</v>
      </c>
      <c r="E282">
        <v>1</v>
      </c>
      <c r="F282">
        <v>0</v>
      </c>
      <c r="G282" t="s">
        <v>9</v>
      </c>
    </row>
    <row r="283" spans="1:7" x14ac:dyDescent="0.25">
      <c r="A283" t="s">
        <v>7</v>
      </c>
      <c r="B283" t="s">
        <v>11</v>
      </c>
      <c r="C283" s="1">
        <v>43475</v>
      </c>
      <c r="D283">
        <v>2019</v>
      </c>
      <c r="E283">
        <v>1</v>
      </c>
      <c r="F283">
        <v>0</v>
      </c>
      <c r="G283" t="s">
        <v>9</v>
      </c>
    </row>
    <row r="284" spans="1:7" x14ac:dyDescent="0.25">
      <c r="A284" t="s">
        <v>7</v>
      </c>
      <c r="B284" t="s">
        <v>11</v>
      </c>
      <c r="C284" s="1">
        <v>43480</v>
      </c>
      <c r="D284">
        <v>2019</v>
      </c>
      <c r="E284">
        <v>1</v>
      </c>
      <c r="F284">
        <v>0</v>
      </c>
      <c r="G284" t="s">
        <v>9</v>
      </c>
    </row>
    <row r="285" spans="1:7" x14ac:dyDescent="0.25">
      <c r="A285" t="s">
        <v>7</v>
      </c>
      <c r="B285" t="s">
        <v>11</v>
      </c>
      <c r="C285" s="1">
        <v>43483</v>
      </c>
      <c r="D285">
        <v>2019</v>
      </c>
      <c r="E285">
        <v>1</v>
      </c>
      <c r="F285">
        <v>0</v>
      </c>
      <c r="G285" t="s">
        <v>9</v>
      </c>
    </row>
    <row r="286" spans="1:7" x14ac:dyDescent="0.25">
      <c r="A286" t="s">
        <v>7</v>
      </c>
      <c r="B286" t="s">
        <v>11</v>
      </c>
      <c r="C286" s="1">
        <v>43484</v>
      </c>
      <c r="D286">
        <v>2019</v>
      </c>
      <c r="E286">
        <v>1</v>
      </c>
      <c r="F286">
        <v>0</v>
      </c>
      <c r="G286" t="s">
        <v>9</v>
      </c>
    </row>
    <row r="287" spans="1:7" x14ac:dyDescent="0.25">
      <c r="A287" t="s">
        <v>7</v>
      </c>
      <c r="B287" t="s">
        <v>11</v>
      </c>
      <c r="C287" s="1">
        <v>43489</v>
      </c>
      <c r="D287">
        <v>2019</v>
      </c>
      <c r="E287">
        <v>1</v>
      </c>
      <c r="F287">
        <v>0</v>
      </c>
      <c r="G287" t="s">
        <v>9</v>
      </c>
    </row>
    <row r="288" spans="1:7" x14ac:dyDescent="0.25">
      <c r="A288" t="s">
        <v>7</v>
      </c>
      <c r="B288" t="s">
        <v>11</v>
      </c>
      <c r="C288" s="1">
        <v>43498</v>
      </c>
      <c r="D288">
        <v>2019</v>
      </c>
      <c r="E288">
        <v>2</v>
      </c>
      <c r="F288">
        <v>0</v>
      </c>
      <c r="G288" t="s">
        <v>9</v>
      </c>
    </row>
    <row r="289" spans="1:7" x14ac:dyDescent="0.25">
      <c r="A289" t="s">
        <v>7</v>
      </c>
      <c r="B289" t="s">
        <v>11</v>
      </c>
      <c r="C289" s="1">
        <v>43502</v>
      </c>
      <c r="D289">
        <v>2019</v>
      </c>
      <c r="E289">
        <v>2</v>
      </c>
      <c r="F289">
        <v>0</v>
      </c>
      <c r="G289" t="s">
        <v>9</v>
      </c>
    </row>
    <row r="290" spans="1:7" x14ac:dyDescent="0.25">
      <c r="A290" t="s">
        <v>7</v>
      </c>
      <c r="B290" t="s">
        <v>11</v>
      </c>
      <c r="C290" s="1">
        <v>43504</v>
      </c>
      <c r="D290">
        <v>2019</v>
      </c>
      <c r="E290">
        <v>2</v>
      </c>
      <c r="F290">
        <v>0</v>
      </c>
      <c r="G290" t="s">
        <v>9</v>
      </c>
    </row>
    <row r="291" spans="1:7" x14ac:dyDescent="0.25">
      <c r="A291" t="s">
        <v>7</v>
      </c>
      <c r="B291" t="s">
        <v>11</v>
      </c>
      <c r="C291" s="1">
        <v>43505</v>
      </c>
      <c r="D291">
        <v>2019</v>
      </c>
      <c r="E291">
        <v>2</v>
      </c>
      <c r="F291">
        <v>0</v>
      </c>
      <c r="G291" t="s">
        <v>9</v>
      </c>
    </row>
    <row r="292" spans="1:7" x14ac:dyDescent="0.25">
      <c r="A292" t="s">
        <v>7</v>
      </c>
      <c r="B292" t="s">
        <v>11</v>
      </c>
      <c r="C292" s="1">
        <v>43507</v>
      </c>
      <c r="D292">
        <v>2019</v>
      </c>
      <c r="E292">
        <v>2</v>
      </c>
      <c r="F292">
        <v>0</v>
      </c>
      <c r="G292" t="s">
        <v>9</v>
      </c>
    </row>
    <row r="293" spans="1:7" x14ac:dyDescent="0.25">
      <c r="A293" t="s">
        <v>7</v>
      </c>
      <c r="B293" t="s">
        <v>11</v>
      </c>
      <c r="C293" s="1">
        <v>43516</v>
      </c>
      <c r="D293">
        <v>2019</v>
      </c>
      <c r="E293">
        <v>2</v>
      </c>
      <c r="F293">
        <v>0</v>
      </c>
      <c r="G293" t="s">
        <v>9</v>
      </c>
    </row>
    <row r="294" spans="1:7" x14ac:dyDescent="0.25">
      <c r="A294" t="s">
        <v>7</v>
      </c>
      <c r="B294" t="s">
        <v>11</v>
      </c>
      <c r="C294" s="1">
        <v>43526</v>
      </c>
      <c r="D294">
        <v>2019</v>
      </c>
      <c r="E294">
        <v>3</v>
      </c>
      <c r="F294">
        <v>0</v>
      </c>
      <c r="G294" t="s">
        <v>9</v>
      </c>
    </row>
    <row r="295" spans="1:7" x14ac:dyDescent="0.25">
      <c r="A295" t="s">
        <v>7</v>
      </c>
      <c r="B295" t="s">
        <v>11</v>
      </c>
      <c r="C295" s="1">
        <v>43530</v>
      </c>
      <c r="D295">
        <v>2019</v>
      </c>
      <c r="E295">
        <v>3</v>
      </c>
      <c r="F295">
        <v>0</v>
      </c>
      <c r="G295" t="s">
        <v>9</v>
      </c>
    </row>
    <row r="296" spans="1:7" x14ac:dyDescent="0.25">
      <c r="A296" t="s">
        <v>7</v>
      </c>
      <c r="B296" t="s">
        <v>11</v>
      </c>
      <c r="C296" s="1">
        <v>43535</v>
      </c>
      <c r="D296">
        <v>2019</v>
      </c>
      <c r="E296">
        <v>3</v>
      </c>
      <c r="F296">
        <v>0</v>
      </c>
      <c r="G296" t="s">
        <v>9</v>
      </c>
    </row>
    <row r="297" spans="1:7" x14ac:dyDescent="0.25">
      <c r="A297" t="s">
        <v>7</v>
      </c>
      <c r="B297" t="s">
        <v>11</v>
      </c>
      <c r="C297" s="1">
        <v>43537</v>
      </c>
      <c r="D297">
        <v>2019</v>
      </c>
      <c r="E297">
        <v>3</v>
      </c>
      <c r="F297">
        <v>0</v>
      </c>
      <c r="G297" t="s">
        <v>9</v>
      </c>
    </row>
    <row r="298" spans="1:7" x14ac:dyDescent="0.25">
      <c r="A298" t="s">
        <v>7</v>
      </c>
      <c r="B298" t="s">
        <v>11</v>
      </c>
      <c r="C298" s="1">
        <v>43539</v>
      </c>
      <c r="D298">
        <v>2019</v>
      </c>
      <c r="E298">
        <v>3</v>
      </c>
      <c r="F298">
        <v>0</v>
      </c>
      <c r="G298" t="s">
        <v>9</v>
      </c>
    </row>
    <row r="299" spans="1:7" x14ac:dyDescent="0.25">
      <c r="A299" t="s">
        <v>7</v>
      </c>
      <c r="B299" t="s">
        <v>11</v>
      </c>
      <c r="C299" s="1">
        <v>43541</v>
      </c>
      <c r="D299">
        <v>2019</v>
      </c>
      <c r="E299">
        <v>3</v>
      </c>
      <c r="F299">
        <v>0</v>
      </c>
      <c r="G299" t="s">
        <v>9</v>
      </c>
    </row>
    <row r="300" spans="1:7" x14ac:dyDescent="0.25">
      <c r="A300" t="s">
        <v>7</v>
      </c>
      <c r="B300" t="s">
        <v>11</v>
      </c>
      <c r="C300" s="1">
        <v>43542</v>
      </c>
      <c r="D300">
        <v>2019</v>
      </c>
      <c r="E300">
        <v>3</v>
      </c>
      <c r="F300">
        <v>0</v>
      </c>
      <c r="G300" t="s">
        <v>9</v>
      </c>
    </row>
    <row r="301" spans="1:7" x14ac:dyDescent="0.25">
      <c r="A301" t="s">
        <v>7</v>
      </c>
      <c r="B301" t="s">
        <v>11</v>
      </c>
      <c r="C301" s="1">
        <v>43546</v>
      </c>
      <c r="D301">
        <v>2019</v>
      </c>
      <c r="E301">
        <v>3</v>
      </c>
      <c r="F301">
        <v>0</v>
      </c>
      <c r="G301" t="s">
        <v>9</v>
      </c>
    </row>
    <row r="302" spans="1:7" x14ac:dyDescent="0.25">
      <c r="A302" t="s">
        <v>7</v>
      </c>
      <c r="B302" t="s">
        <v>11</v>
      </c>
      <c r="C302" s="1">
        <v>43548</v>
      </c>
      <c r="D302">
        <v>2019</v>
      </c>
      <c r="E302">
        <v>3</v>
      </c>
      <c r="F302">
        <v>0</v>
      </c>
      <c r="G302" t="s">
        <v>9</v>
      </c>
    </row>
    <row r="303" spans="1:7" x14ac:dyDescent="0.25">
      <c r="A303" t="s">
        <v>7</v>
      </c>
      <c r="B303" t="s">
        <v>11</v>
      </c>
      <c r="C303" s="1">
        <v>43553</v>
      </c>
      <c r="D303">
        <v>2019</v>
      </c>
      <c r="E303">
        <v>3</v>
      </c>
      <c r="F303">
        <v>0</v>
      </c>
      <c r="G303" t="s">
        <v>9</v>
      </c>
    </row>
    <row r="304" spans="1:7" x14ac:dyDescent="0.25">
      <c r="A304" t="s">
        <v>7</v>
      </c>
      <c r="B304" t="s">
        <v>11</v>
      </c>
      <c r="C304" s="1">
        <v>43560</v>
      </c>
      <c r="D304">
        <v>2019</v>
      </c>
      <c r="E304">
        <v>4</v>
      </c>
      <c r="F304">
        <v>0</v>
      </c>
      <c r="G304" t="s">
        <v>9</v>
      </c>
    </row>
    <row r="305" spans="1:7" x14ac:dyDescent="0.25">
      <c r="A305" t="s">
        <v>7</v>
      </c>
      <c r="B305" t="s">
        <v>10</v>
      </c>
      <c r="C305" s="1">
        <v>43772</v>
      </c>
      <c r="D305">
        <v>2019</v>
      </c>
      <c r="E305">
        <v>11</v>
      </c>
      <c r="F305">
        <v>5.1828541760000002</v>
      </c>
      <c r="G305" t="s">
        <v>9</v>
      </c>
    </row>
    <row r="306" spans="1:7" x14ac:dyDescent="0.25">
      <c r="A306" t="s">
        <v>7</v>
      </c>
      <c r="B306" t="s">
        <v>10</v>
      </c>
      <c r="C306" s="1">
        <v>43779</v>
      </c>
      <c r="D306">
        <v>2019</v>
      </c>
      <c r="E306">
        <v>11</v>
      </c>
      <c r="F306">
        <v>0</v>
      </c>
      <c r="G306" t="s">
        <v>9</v>
      </c>
    </row>
    <row r="307" spans="1:7" x14ac:dyDescent="0.25">
      <c r="A307" t="s">
        <v>7</v>
      </c>
      <c r="B307" t="s">
        <v>10</v>
      </c>
      <c r="C307" s="1">
        <v>43784</v>
      </c>
      <c r="D307">
        <v>2019</v>
      </c>
      <c r="E307">
        <v>11</v>
      </c>
      <c r="F307">
        <v>0</v>
      </c>
      <c r="G307" t="s">
        <v>9</v>
      </c>
    </row>
    <row r="308" spans="1:7" x14ac:dyDescent="0.25">
      <c r="A308" t="s">
        <v>7</v>
      </c>
      <c r="B308" t="s">
        <v>10</v>
      </c>
      <c r="C308" s="1">
        <v>43789</v>
      </c>
      <c r="D308">
        <v>2019</v>
      </c>
      <c r="E308">
        <v>11</v>
      </c>
      <c r="F308">
        <v>0</v>
      </c>
      <c r="G308" t="s">
        <v>9</v>
      </c>
    </row>
    <row r="309" spans="1:7" x14ac:dyDescent="0.25">
      <c r="A309" t="s">
        <v>7</v>
      </c>
      <c r="B309" t="s">
        <v>10</v>
      </c>
      <c r="C309" s="1">
        <v>43803</v>
      </c>
      <c r="D309">
        <v>2019</v>
      </c>
      <c r="E309">
        <v>12</v>
      </c>
      <c r="F309">
        <v>0</v>
      </c>
      <c r="G309" t="s">
        <v>9</v>
      </c>
    </row>
    <row r="310" spans="1:7" x14ac:dyDescent="0.25">
      <c r="A310" t="s">
        <v>7</v>
      </c>
      <c r="B310" t="s">
        <v>10</v>
      </c>
      <c r="C310" s="1">
        <v>43805</v>
      </c>
      <c r="D310">
        <v>2019</v>
      </c>
      <c r="E310">
        <v>12</v>
      </c>
      <c r="F310">
        <v>0</v>
      </c>
      <c r="G310" t="s">
        <v>9</v>
      </c>
    </row>
    <row r="311" spans="1:7" x14ac:dyDescent="0.25">
      <c r="A311" t="s">
        <v>7</v>
      </c>
      <c r="B311" t="s">
        <v>10</v>
      </c>
      <c r="C311" s="1">
        <v>43808</v>
      </c>
      <c r="D311">
        <v>2019</v>
      </c>
      <c r="E311">
        <v>12</v>
      </c>
      <c r="F311">
        <v>0</v>
      </c>
      <c r="G311" t="s">
        <v>9</v>
      </c>
    </row>
    <row r="312" spans="1:7" x14ac:dyDescent="0.25">
      <c r="A312" t="s">
        <v>7</v>
      </c>
      <c r="B312" t="s">
        <v>10</v>
      </c>
      <c r="C312" s="1">
        <v>43806</v>
      </c>
      <c r="D312">
        <v>2019</v>
      </c>
      <c r="E312">
        <v>12</v>
      </c>
      <c r="F312">
        <v>0</v>
      </c>
      <c r="G312" t="s">
        <v>9</v>
      </c>
    </row>
    <row r="313" spans="1:7" x14ac:dyDescent="0.25">
      <c r="A313" t="s">
        <v>7</v>
      </c>
      <c r="B313" t="s">
        <v>10</v>
      </c>
      <c r="C313" s="1">
        <v>43811</v>
      </c>
      <c r="D313">
        <v>2019</v>
      </c>
      <c r="E313">
        <v>12</v>
      </c>
      <c r="F313">
        <v>0</v>
      </c>
      <c r="G313" t="s">
        <v>9</v>
      </c>
    </row>
    <row r="314" spans="1:7" x14ac:dyDescent="0.25">
      <c r="A314" t="s">
        <v>7</v>
      </c>
      <c r="B314" t="s">
        <v>10</v>
      </c>
      <c r="C314" s="1">
        <v>43818</v>
      </c>
      <c r="D314">
        <v>2019</v>
      </c>
      <c r="E314">
        <v>12</v>
      </c>
      <c r="F314">
        <v>0</v>
      </c>
      <c r="G314" t="s">
        <v>9</v>
      </c>
    </row>
    <row r="315" spans="1:7" x14ac:dyDescent="0.25">
      <c r="A315" t="s">
        <v>7</v>
      </c>
      <c r="B315" t="s">
        <v>10</v>
      </c>
      <c r="C315" s="1">
        <v>43820</v>
      </c>
      <c r="D315">
        <v>2019</v>
      </c>
      <c r="E315">
        <v>12</v>
      </c>
      <c r="F315">
        <v>0</v>
      </c>
      <c r="G315" t="s">
        <v>9</v>
      </c>
    </row>
    <row r="316" spans="1:7" x14ac:dyDescent="0.25">
      <c r="A316" t="s">
        <v>7</v>
      </c>
      <c r="B316" t="s">
        <v>10</v>
      </c>
      <c r="C316" s="1">
        <v>43826</v>
      </c>
      <c r="D316">
        <v>2019</v>
      </c>
      <c r="E316">
        <v>12</v>
      </c>
      <c r="F316">
        <v>0</v>
      </c>
      <c r="G316" t="s">
        <v>9</v>
      </c>
    </row>
    <row r="317" spans="1:7" x14ac:dyDescent="0.25">
      <c r="A317" t="s">
        <v>7</v>
      </c>
      <c r="B317" t="s">
        <v>10</v>
      </c>
      <c r="C317" s="1">
        <v>43827</v>
      </c>
      <c r="D317">
        <v>2019</v>
      </c>
      <c r="E317">
        <v>12</v>
      </c>
      <c r="F317">
        <v>0</v>
      </c>
      <c r="G317" t="s">
        <v>9</v>
      </c>
    </row>
    <row r="318" spans="1:7" x14ac:dyDescent="0.25">
      <c r="A318" t="s">
        <v>7</v>
      </c>
      <c r="B318" t="s">
        <v>11</v>
      </c>
      <c r="C318" s="1">
        <v>43466</v>
      </c>
      <c r="D318">
        <v>2019</v>
      </c>
      <c r="E318">
        <v>1</v>
      </c>
      <c r="F318">
        <v>0</v>
      </c>
      <c r="G318" t="s">
        <v>9</v>
      </c>
    </row>
    <row r="319" spans="1:7" x14ac:dyDescent="0.25">
      <c r="A319" t="s">
        <v>7</v>
      </c>
      <c r="B319" t="s">
        <v>11</v>
      </c>
      <c r="C319" s="1">
        <v>43468</v>
      </c>
      <c r="D319">
        <v>2019</v>
      </c>
      <c r="E319">
        <v>1</v>
      </c>
      <c r="F319">
        <v>0</v>
      </c>
      <c r="G319" t="s">
        <v>9</v>
      </c>
    </row>
    <row r="320" spans="1:7" x14ac:dyDescent="0.25">
      <c r="A320" t="s">
        <v>7</v>
      </c>
      <c r="B320" t="s">
        <v>11</v>
      </c>
      <c r="C320" s="1">
        <v>43470</v>
      </c>
      <c r="D320">
        <v>2019</v>
      </c>
      <c r="E320">
        <v>1</v>
      </c>
      <c r="F320">
        <v>0</v>
      </c>
      <c r="G320" t="s">
        <v>9</v>
      </c>
    </row>
    <row r="321" spans="1:7" x14ac:dyDescent="0.25">
      <c r="A321" t="s">
        <v>7</v>
      </c>
      <c r="B321" t="s">
        <v>11</v>
      </c>
      <c r="C321" s="1">
        <v>43471</v>
      </c>
      <c r="D321">
        <v>2019</v>
      </c>
      <c r="E321">
        <v>1</v>
      </c>
      <c r="F321">
        <v>0</v>
      </c>
      <c r="G321" t="s">
        <v>9</v>
      </c>
    </row>
    <row r="322" spans="1:7" x14ac:dyDescent="0.25">
      <c r="A322" t="s">
        <v>7</v>
      </c>
      <c r="B322" t="s">
        <v>11</v>
      </c>
      <c r="C322" s="1">
        <v>43477</v>
      </c>
      <c r="D322">
        <v>2019</v>
      </c>
      <c r="E322">
        <v>1</v>
      </c>
      <c r="F322">
        <v>0</v>
      </c>
      <c r="G322" t="s">
        <v>9</v>
      </c>
    </row>
    <row r="323" spans="1:7" x14ac:dyDescent="0.25">
      <c r="A323" t="s">
        <v>7</v>
      </c>
      <c r="B323" t="s">
        <v>11</v>
      </c>
      <c r="C323" s="1">
        <v>43482</v>
      </c>
      <c r="D323">
        <v>2019</v>
      </c>
      <c r="E323">
        <v>1</v>
      </c>
      <c r="F323">
        <v>0</v>
      </c>
      <c r="G323" t="s">
        <v>9</v>
      </c>
    </row>
    <row r="324" spans="1:7" x14ac:dyDescent="0.25">
      <c r="A324" t="s">
        <v>7</v>
      </c>
      <c r="B324" t="s">
        <v>11</v>
      </c>
      <c r="C324" s="1">
        <v>43488</v>
      </c>
      <c r="D324">
        <v>2019</v>
      </c>
      <c r="E324">
        <v>1</v>
      </c>
      <c r="F324">
        <v>0</v>
      </c>
      <c r="G324" t="s">
        <v>9</v>
      </c>
    </row>
    <row r="325" spans="1:7" x14ac:dyDescent="0.25">
      <c r="A325" t="s">
        <v>7</v>
      </c>
      <c r="B325" t="s">
        <v>11</v>
      </c>
      <c r="C325" s="1">
        <v>43492</v>
      </c>
      <c r="D325">
        <v>2019</v>
      </c>
      <c r="E325">
        <v>1</v>
      </c>
      <c r="F325">
        <v>0</v>
      </c>
      <c r="G325" t="s">
        <v>9</v>
      </c>
    </row>
    <row r="326" spans="1:7" x14ac:dyDescent="0.25">
      <c r="A326" t="s">
        <v>7</v>
      </c>
      <c r="B326" t="s">
        <v>11</v>
      </c>
      <c r="C326" s="1">
        <v>43496</v>
      </c>
      <c r="D326">
        <v>2019</v>
      </c>
      <c r="E326">
        <v>1</v>
      </c>
      <c r="F326">
        <v>0</v>
      </c>
      <c r="G326" t="s">
        <v>9</v>
      </c>
    </row>
    <row r="327" spans="1:7" x14ac:dyDescent="0.25">
      <c r="A327" t="s">
        <v>7</v>
      </c>
      <c r="B327" t="s">
        <v>11</v>
      </c>
      <c r="C327" s="1">
        <v>43497</v>
      </c>
      <c r="D327">
        <v>2019</v>
      </c>
      <c r="E327">
        <v>2</v>
      </c>
      <c r="F327">
        <v>0</v>
      </c>
      <c r="G327" t="s">
        <v>9</v>
      </c>
    </row>
    <row r="328" spans="1:7" x14ac:dyDescent="0.25">
      <c r="A328" t="s">
        <v>7</v>
      </c>
      <c r="B328" t="s">
        <v>11</v>
      </c>
      <c r="C328" s="1">
        <v>43506</v>
      </c>
      <c r="D328">
        <v>2019</v>
      </c>
      <c r="E328">
        <v>2</v>
      </c>
      <c r="F328">
        <v>0</v>
      </c>
      <c r="G328" t="s">
        <v>9</v>
      </c>
    </row>
    <row r="329" spans="1:7" x14ac:dyDescent="0.25">
      <c r="A329" t="s">
        <v>7</v>
      </c>
      <c r="B329" t="s">
        <v>11</v>
      </c>
      <c r="C329" s="1">
        <v>43509</v>
      </c>
      <c r="D329">
        <v>2019</v>
      </c>
      <c r="E329">
        <v>2</v>
      </c>
      <c r="F329">
        <v>0</v>
      </c>
      <c r="G329" t="s">
        <v>9</v>
      </c>
    </row>
    <row r="330" spans="1:7" x14ac:dyDescent="0.25">
      <c r="A330" t="s">
        <v>7</v>
      </c>
      <c r="B330" t="s">
        <v>11</v>
      </c>
      <c r="C330" s="1">
        <v>43511</v>
      </c>
      <c r="D330">
        <v>2019</v>
      </c>
      <c r="E330">
        <v>2</v>
      </c>
      <c r="F330">
        <v>0</v>
      </c>
      <c r="G330" t="s">
        <v>9</v>
      </c>
    </row>
    <row r="331" spans="1:7" x14ac:dyDescent="0.25">
      <c r="A331" t="s">
        <v>7</v>
      </c>
      <c r="B331" t="s">
        <v>11</v>
      </c>
      <c r="C331" s="1">
        <v>43514</v>
      </c>
      <c r="D331">
        <v>2019</v>
      </c>
      <c r="E331">
        <v>2</v>
      </c>
      <c r="F331">
        <v>0</v>
      </c>
      <c r="G331" t="s">
        <v>9</v>
      </c>
    </row>
    <row r="332" spans="1:7" x14ac:dyDescent="0.25">
      <c r="A332" t="s">
        <v>7</v>
      </c>
      <c r="B332" t="s">
        <v>11</v>
      </c>
      <c r="C332" s="1">
        <v>43515</v>
      </c>
      <c r="D332">
        <v>2019</v>
      </c>
      <c r="E332">
        <v>2</v>
      </c>
      <c r="F332">
        <v>0</v>
      </c>
      <c r="G332" t="s">
        <v>9</v>
      </c>
    </row>
    <row r="333" spans="1:7" x14ac:dyDescent="0.25">
      <c r="A333" t="s">
        <v>7</v>
      </c>
      <c r="B333" t="s">
        <v>11</v>
      </c>
      <c r="C333" s="1">
        <v>43517</v>
      </c>
      <c r="D333">
        <v>2019</v>
      </c>
      <c r="E333">
        <v>2</v>
      </c>
      <c r="F333">
        <v>0</v>
      </c>
      <c r="G333" t="s">
        <v>9</v>
      </c>
    </row>
    <row r="334" spans="1:7" x14ac:dyDescent="0.25">
      <c r="A334" t="s">
        <v>7</v>
      </c>
      <c r="B334" t="s">
        <v>11</v>
      </c>
      <c r="C334" s="1">
        <v>43520</v>
      </c>
      <c r="D334">
        <v>2019</v>
      </c>
      <c r="E334">
        <v>2</v>
      </c>
      <c r="F334">
        <v>0</v>
      </c>
      <c r="G334" t="s">
        <v>9</v>
      </c>
    </row>
    <row r="335" spans="1:7" x14ac:dyDescent="0.25">
      <c r="A335" t="s">
        <v>7</v>
      </c>
      <c r="B335" t="s">
        <v>11</v>
      </c>
      <c r="C335" s="1">
        <v>43521</v>
      </c>
      <c r="D335">
        <v>2019</v>
      </c>
      <c r="E335">
        <v>2</v>
      </c>
      <c r="F335">
        <v>0</v>
      </c>
      <c r="G335" t="s">
        <v>9</v>
      </c>
    </row>
    <row r="336" spans="1:7" x14ac:dyDescent="0.25">
      <c r="A336" t="s">
        <v>7</v>
      </c>
      <c r="B336" t="s">
        <v>11</v>
      </c>
      <c r="C336" s="1">
        <v>43522</v>
      </c>
      <c r="D336">
        <v>2019</v>
      </c>
      <c r="E336">
        <v>2</v>
      </c>
      <c r="F336">
        <v>0</v>
      </c>
      <c r="G336" t="s">
        <v>9</v>
      </c>
    </row>
    <row r="337" spans="1:7" x14ac:dyDescent="0.25">
      <c r="A337" t="s">
        <v>7</v>
      </c>
      <c r="B337" t="s">
        <v>11</v>
      </c>
      <c r="C337" s="1">
        <v>43527</v>
      </c>
      <c r="D337">
        <v>2019</v>
      </c>
      <c r="E337">
        <v>3</v>
      </c>
      <c r="F337">
        <v>0</v>
      </c>
      <c r="G337" t="s">
        <v>9</v>
      </c>
    </row>
    <row r="338" spans="1:7" x14ac:dyDescent="0.25">
      <c r="A338" t="s">
        <v>7</v>
      </c>
      <c r="B338" t="s">
        <v>11</v>
      </c>
      <c r="C338" s="1">
        <v>43536</v>
      </c>
      <c r="D338">
        <v>2019</v>
      </c>
      <c r="E338">
        <v>3</v>
      </c>
      <c r="F338">
        <v>0</v>
      </c>
      <c r="G338" t="s">
        <v>9</v>
      </c>
    </row>
    <row r="339" spans="1:7" x14ac:dyDescent="0.25">
      <c r="A339" t="s">
        <v>7</v>
      </c>
      <c r="B339" t="s">
        <v>11</v>
      </c>
      <c r="C339" s="1">
        <v>43538</v>
      </c>
      <c r="D339">
        <v>2019</v>
      </c>
      <c r="E339">
        <v>3</v>
      </c>
      <c r="F339">
        <v>0</v>
      </c>
      <c r="G339" t="s">
        <v>9</v>
      </c>
    </row>
    <row r="340" spans="1:7" x14ac:dyDescent="0.25">
      <c r="A340" t="s">
        <v>7</v>
      </c>
      <c r="B340" t="s">
        <v>11</v>
      </c>
      <c r="C340" s="1">
        <v>43540</v>
      </c>
      <c r="D340">
        <v>2019</v>
      </c>
      <c r="E340">
        <v>3</v>
      </c>
      <c r="F340">
        <v>0</v>
      </c>
      <c r="G340" t="s">
        <v>9</v>
      </c>
    </row>
    <row r="341" spans="1:7" x14ac:dyDescent="0.25">
      <c r="A341" t="s">
        <v>7</v>
      </c>
      <c r="B341" t="s">
        <v>11</v>
      </c>
      <c r="C341" s="1">
        <v>43545</v>
      </c>
      <c r="D341">
        <v>2019</v>
      </c>
      <c r="E341">
        <v>3</v>
      </c>
      <c r="F341">
        <v>0</v>
      </c>
      <c r="G341" t="s">
        <v>9</v>
      </c>
    </row>
    <row r="342" spans="1:7" x14ac:dyDescent="0.25">
      <c r="A342" t="s">
        <v>7</v>
      </c>
      <c r="B342" t="s">
        <v>11</v>
      </c>
      <c r="C342" s="1">
        <v>43550</v>
      </c>
      <c r="D342">
        <v>2019</v>
      </c>
      <c r="E342">
        <v>3</v>
      </c>
      <c r="F342">
        <v>0</v>
      </c>
      <c r="G342" t="s">
        <v>9</v>
      </c>
    </row>
    <row r="343" spans="1:7" x14ac:dyDescent="0.25">
      <c r="A343" t="s">
        <v>7</v>
      </c>
      <c r="B343" t="s">
        <v>11</v>
      </c>
      <c r="C343" s="1">
        <v>43552</v>
      </c>
      <c r="D343">
        <v>2019</v>
      </c>
      <c r="E343">
        <v>3</v>
      </c>
      <c r="F343">
        <v>0</v>
      </c>
      <c r="G343" t="s">
        <v>9</v>
      </c>
    </row>
    <row r="344" spans="1:7" x14ac:dyDescent="0.25">
      <c r="A344" t="s">
        <v>7</v>
      </c>
      <c r="B344" t="s">
        <v>11</v>
      </c>
      <c r="C344" s="1">
        <v>43566</v>
      </c>
      <c r="D344">
        <v>2019</v>
      </c>
      <c r="E344">
        <v>4</v>
      </c>
      <c r="F344">
        <v>0</v>
      </c>
      <c r="G344" t="s">
        <v>9</v>
      </c>
    </row>
    <row r="345" spans="1:7" x14ac:dyDescent="0.25">
      <c r="A345" t="s">
        <v>7</v>
      </c>
      <c r="B345" t="s">
        <v>11</v>
      </c>
      <c r="C345" s="1">
        <v>43567</v>
      </c>
      <c r="D345">
        <v>2019</v>
      </c>
      <c r="E345">
        <v>4</v>
      </c>
      <c r="F345">
        <v>0</v>
      </c>
      <c r="G345" t="s">
        <v>9</v>
      </c>
    </row>
    <row r="346" spans="1:7" x14ac:dyDescent="0.25">
      <c r="A346" t="s">
        <v>7</v>
      </c>
      <c r="B346" t="s">
        <v>11</v>
      </c>
      <c r="C346" s="1">
        <v>43570</v>
      </c>
      <c r="D346">
        <v>2019</v>
      </c>
      <c r="E346">
        <v>4</v>
      </c>
      <c r="F346">
        <v>0</v>
      </c>
      <c r="G346" t="s">
        <v>9</v>
      </c>
    </row>
    <row r="347" spans="1:7" x14ac:dyDescent="0.25">
      <c r="A347" t="s">
        <v>7</v>
      </c>
      <c r="B347" t="s">
        <v>11</v>
      </c>
      <c r="C347" s="1">
        <v>43582</v>
      </c>
      <c r="D347">
        <v>2019</v>
      </c>
      <c r="E347">
        <v>4</v>
      </c>
      <c r="F347">
        <v>0</v>
      </c>
      <c r="G347" t="s">
        <v>9</v>
      </c>
    </row>
    <row r="348" spans="1:7" x14ac:dyDescent="0.25">
      <c r="A348" t="s">
        <v>7</v>
      </c>
      <c r="B348" t="s">
        <v>11</v>
      </c>
      <c r="C348" s="1">
        <v>43585</v>
      </c>
      <c r="D348">
        <v>2019</v>
      </c>
      <c r="E348">
        <v>4</v>
      </c>
      <c r="F348">
        <v>0</v>
      </c>
      <c r="G348" t="s">
        <v>9</v>
      </c>
    </row>
    <row r="349" spans="1:7" x14ac:dyDescent="0.25">
      <c r="A349" t="s">
        <v>7</v>
      </c>
      <c r="B349" t="s">
        <v>11</v>
      </c>
      <c r="C349" s="1">
        <v>43593</v>
      </c>
      <c r="D349">
        <v>2019</v>
      </c>
      <c r="E349">
        <v>5</v>
      </c>
      <c r="F349">
        <v>0</v>
      </c>
      <c r="G349" t="s">
        <v>9</v>
      </c>
    </row>
    <row r="350" spans="1:7" x14ac:dyDescent="0.25">
      <c r="A350" t="s">
        <v>7</v>
      </c>
      <c r="B350" t="s">
        <v>11</v>
      </c>
      <c r="C350" s="1">
        <v>43595</v>
      </c>
      <c r="D350">
        <v>2019</v>
      </c>
      <c r="E350">
        <v>5</v>
      </c>
      <c r="F350">
        <v>0</v>
      </c>
      <c r="G350" t="s">
        <v>9</v>
      </c>
    </row>
    <row r="351" spans="1:7" x14ac:dyDescent="0.25">
      <c r="A351" t="s">
        <v>7</v>
      </c>
      <c r="B351" t="s">
        <v>11</v>
      </c>
      <c r="C351" s="1">
        <v>43598</v>
      </c>
      <c r="D351">
        <v>2019</v>
      </c>
      <c r="E351">
        <v>5</v>
      </c>
      <c r="F351">
        <v>0</v>
      </c>
      <c r="G351" t="s">
        <v>9</v>
      </c>
    </row>
    <row r="352" spans="1:7" x14ac:dyDescent="0.25">
      <c r="A352" t="s">
        <v>7</v>
      </c>
      <c r="B352" t="s">
        <v>11</v>
      </c>
      <c r="C352" s="1">
        <v>43599</v>
      </c>
      <c r="D352">
        <v>2019</v>
      </c>
      <c r="E352">
        <v>5</v>
      </c>
      <c r="F352">
        <v>0</v>
      </c>
      <c r="G352" t="s">
        <v>9</v>
      </c>
    </row>
    <row r="353" spans="1:7" x14ac:dyDescent="0.25">
      <c r="A353" t="s">
        <v>7</v>
      </c>
      <c r="B353" t="s">
        <v>11</v>
      </c>
      <c r="C353" s="1">
        <v>43605</v>
      </c>
      <c r="D353">
        <v>2019</v>
      </c>
      <c r="E353">
        <v>5</v>
      </c>
      <c r="F353">
        <v>0</v>
      </c>
      <c r="G353" t="s">
        <v>9</v>
      </c>
    </row>
    <row r="354" spans="1:7" x14ac:dyDescent="0.25">
      <c r="A354" t="s">
        <v>7</v>
      </c>
      <c r="B354" t="s">
        <v>11</v>
      </c>
      <c r="C354" s="1">
        <v>43607</v>
      </c>
      <c r="D354">
        <v>2019</v>
      </c>
      <c r="E354">
        <v>5</v>
      </c>
      <c r="F354">
        <v>0</v>
      </c>
      <c r="G354" t="s">
        <v>9</v>
      </c>
    </row>
    <row r="355" spans="1:7" x14ac:dyDescent="0.25">
      <c r="A355" t="s">
        <v>7</v>
      </c>
      <c r="B355" t="s">
        <v>11</v>
      </c>
      <c r="C355" s="1">
        <v>43609</v>
      </c>
      <c r="D355">
        <v>2019</v>
      </c>
      <c r="E355">
        <v>5</v>
      </c>
      <c r="F355">
        <v>0</v>
      </c>
      <c r="G355" t="s">
        <v>9</v>
      </c>
    </row>
    <row r="356" spans="1:7" x14ac:dyDescent="0.25">
      <c r="A356" t="s">
        <v>7</v>
      </c>
      <c r="B356" t="s">
        <v>11</v>
      </c>
      <c r="C356" s="1">
        <v>43610</v>
      </c>
      <c r="D356">
        <v>2019</v>
      </c>
      <c r="E356">
        <v>5</v>
      </c>
      <c r="F356">
        <v>0</v>
      </c>
      <c r="G356" t="s">
        <v>9</v>
      </c>
    </row>
    <row r="357" spans="1:7" x14ac:dyDescent="0.25">
      <c r="A357" t="s">
        <v>7</v>
      </c>
      <c r="B357" t="s">
        <v>11</v>
      </c>
      <c r="C357" s="1">
        <v>43618</v>
      </c>
      <c r="D357">
        <v>2019</v>
      </c>
      <c r="E357">
        <v>6</v>
      </c>
      <c r="F357">
        <v>0</v>
      </c>
      <c r="G357" t="s">
        <v>9</v>
      </c>
    </row>
    <row r="358" spans="1:7" x14ac:dyDescent="0.25">
      <c r="A358" t="s">
        <v>7</v>
      </c>
      <c r="B358" t="s">
        <v>11</v>
      </c>
      <c r="C358" s="1">
        <v>43621</v>
      </c>
      <c r="D358">
        <v>2019</v>
      </c>
      <c r="E358">
        <v>6</v>
      </c>
      <c r="F358">
        <v>0</v>
      </c>
      <c r="G358" t="s">
        <v>9</v>
      </c>
    </row>
    <row r="359" spans="1:7" x14ac:dyDescent="0.25">
      <c r="A359" t="s">
        <v>7</v>
      </c>
      <c r="B359" t="s">
        <v>11</v>
      </c>
      <c r="C359" s="1">
        <v>43622</v>
      </c>
      <c r="D359">
        <v>2019</v>
      </c>
      <c r="E359">
        <v>6</v>
      </c>
      <c r="F359">
        <v>0</v>
      </c>
      <c r="G359" t="s">
        <v>9</v>
      </c>
    </row>
    <row r="360" spans="1:7" x14ac:dyDescent="0.25">
      <c r="A360" t="s">
        <v>7</v>
      </c>
      <c r="B360" t="s">
        <v>11</v>
      </c>
      <c r="C360" s="1">
        <v>43628</v>
      </c>
      <c r="D360">
        <v>2019</v>
      </c>
      <c r="E360">
        <v>6</v>
      </c>
      <c r="F360">
        <v>0</v>
      </c>
      <c r="G360" t="s">
        <v>9</v>
      </c>
    </row>
    <row r="361" spans="1:7" x14ac:dyDescent="0.25">
      <c r="A361" t="s">
        <v>7</v>
      </c>
      <c r="B361" t="s">
        <v>11</v>
      </c>
      <c r="C361" s="1">
        <v>43630</v>
      </c>
      <c r="D361">
        <v>2019</v>
      </c>
      <c r="E361">
        <v>6</v>
      </c>
      <c r="F361">
        <v>0</v>
      </c>
      <c r="G361" t="s">
        <v>9</v>
      </c>
    </row>
    <row r="362" spans="1:7" x14ac:dyDescent="0.25">
      <c r="A362" t="s">
        <v>7</v>
      </c>
      <c r="B362" t="s">
        <v>11</v>
      </c>
      <c r="C362" s="1">
        <v>43632</v>
      </c>
      <c r="D362">
        <v>2019</v>
      </c>
      <c r="E362">
        <v>6</v>
      </c>
      <c r="F362">
        <v>0</v>
      </c>
      <c r="G362" t="s">
        <v>9</v>
      </c>
    </row>
    <row r="363" spans="1:7" x14ac:dyDescent="0.25">
      <c r="A363" t="s">
        <v>7</v>
      </c>
      <c r="B363" t="s">
        <v>11</v>
      </c>
      <c r="C363" s="1">
        <v>43638</v>
      </c>
      <c r="D363">
        <v>2019</v>
      </c>
      <c r="E363">
        <v>6</v>
      </c>
      <c r="F363">
        <v>0</v>
      </c>
      <c r="G363" t="s">
        <v>9</v>
      </c>
    </row>
    <row r="364" spans="1:7" x14ac:dyDescent="0.25">
      <c r="A364" t="s">
        <v>7</v>
      </c>
      <c r="B364" t="s">
        <v>11</v>
      </c>
      <c r="C364" s="1">
        <v>43645</v>
      </c>
      <c r="D364">
        <v>2019</v>
      </c>
      <c r="E364">
        <v>6</v>
      </c>
      <c r="F364">
        <v>0</v>
      </c>
      <c r="G364" t="s">
        <v>9</v>
      </c>
    </row>
    <row r="365" spans="1:7" x14ac:dyDescent="0.25">
      <c r="A365" t="s">
        <v>7</v>
      </c>
      <c r="B365" t="s">
        <v>11</v>
      </c>
      <c r="C365" s="1">
        <v>43649</v>
      </c>
      <c r="D365">
        <v>2019</v>
      </c>
      <c r="E365">
        <v>7</v>
      </c>
      <c r="F365">
        <v>0</v>
      </c>
      <c r="G365" t="s">
        <v>9</v>
      </c>
    </row>
    <row r="366" spans="1:7" x14ac:dyDescent="0.25">
      <c r="A366" t="s">
        <v>7</v>
      </c>
      <c r="B366" t="s">
        <v>11</v>
      </c>
      <c r="C366" s="1">
        <v>43650</v>
      </c>
      <c r="D366">
        <v>2019</v>
      </c>
      <c r="E366">
        <v>7</v>
      </c>
      <c r="F366">
        <v>0</v>
      </c>
      <c r="G366" t="s">
        <v>9</v>
      </c>
    </row>
    <row r="367" spans="1:7" x14ac:dyDescent="0.25">
      <c r="A367" t="s">
        <v>7</v>
      </c>
      <c r="B367" t="s">
        <v>11</v>
      </c>
      <c r="C367" s="1">
        <v>43656</v>
      </c>
      <c r="D367">
        <v>2019</v>
      </c>
      <c r="E367">
        <v>7</v>
      </c>
      <c r="F367">
        <v>0.45684649599999999</v>
      </c>
      <c r="G367" t="s">
        <v>9</v>
      </c>
    </row>
    <row r="368" spans="1:7" x14ac:dyDescent="0.25">
      <c r="A368" t="s">
        <v>7</v>
      </c>
      <c r="B368" t="s">
        <v>11</v>
      </c>
      <c r="C368" s="1">
        <v>43676</v>
      </c>
      <c r="D368">
        <v>2019</v>
      </c>
      <c r="E368">
        <v>7</v>
      </c>
      <c r="F368">
        <v>0</v>
      </c>
      <c r="G368" t="s">
        <v>9</v>
      </c>
    </row>
    <row r="369" spans="1:7" x14ac:dyDescent="0.25">
      <c r="A369" t="s">
        <v>7</v>
      </c>
      <c r="B369" t="s">
        <v>11</v>
      </c>
      <c r="C369" s="1">
        <v>43679</v>
      </c>
      <c r="D369">
        <v>2019</v>
      </c>
      <c r="E369">
        <v>8</v>
      </c>
      <c r="F369">
        <v>0</v>
      </c>
      <c r="G369" t="s">
        <v>9</v>
      </c>
    </row>
    <row r="370" spans="1:7" x14ac:dyDescent="0.25">
      <c r="A370" t="s">
        <v>7</v>
      </c>
      <c r="B370" t="s">
        <v>11</v>
      </c>
      <c r="C370" s="1">
        <v>43689</v>
      </c>
      <c r="D370">
        <v>2019</v>
      </c>
      <c r="E370">
        <v>8</v>
      </c>
      <c r="F370">
        <v>0.236112393</v>
      </c>
      <c r="G370" t="s">
        <v>9</v>
      </c>
    </row>
    <row r="371" spans="1:7" x14ac:dyDescent="0.25">
      <c r="A371" t="s">
        <v>7</v>
      </c>
      <c r="B371" t="s">
        <v>11</v>
      </c>
      <c r="C371" s="1">
        <v>43690</v>
      </c>
      <c r="D371">
        <v>2019</v>
      </c>
      <c r="E371">
        <v>8</v>
      </c>
      <c r="F371">
        <v>0.77889887999999996</v>
      </c>
      <c r="G371" t="s">
        <v>9</v>
      </c>
    </row>
    <row r="372" spans="1:7" x14ac:dyDescent="0.25">
      <c r="A372" t="s">
        <v>7</v>
      </c>
      <c r="B372" t="s">
        <v>11</v>
      </c>
      <c r="C372" s="1">
        <v>43695</v>
      </c>
      <c r="D372">
        <v>2019</v>
      </c>
      <c r="E372">
        <v>8</v>
      </c>
      <c r="F372">
        <v>1.5707695000000001E-2</v>
      </c>
      <c r="G372" t="s">
        <v>9</v>
      </c>
    </row>
    <row r="373" spans="1:7" x14ac:dyDescent="0.25">
      <c r="A373" t="s">
        <v>7</v>
      </c>
      <c r="B373" t="s">
        <v>11</v>
      </c>
      <c r="C373" s="1">
        <v>43699</v>
      </c>
      <c r="D373">
        <v>2019</v>
      </c>
      <c r="E373">
        <v>8</v>
      </c>
      <c r="F373">
        <v>32.659667519999999</v>
      </c>
      <c r="G373" t="s">
        <v>9</v>
      </c>
    </row>
    <row r="374" spans="1:7" x14ac:dyDescent="0.25">
      <c r="A374" t="s">
        <v>7</v>
      </c>
      <c r="B374" t="s">
        <v>11</v>
      </c>
      <c r="C374" s="1">
        <v>43710</v>
      </c>
      <c r="D374">
        <v>2019</v>
      </c>
      <c r="E374">
        <v>9</v>
      </c>
      <c r="F374">
        <v>0</v>
      </c>
      <c r="G374" t="s">
        <v>9</v>
      </c>
    </row>
    <row r="375" spans="1:7" x14ac:dyDescent="0.25">
      <c r="A375" t="s">
        <v>7</v>
      </c>
      <c r="B375" t="s">
        <v>11</v>
      </c>
      <c r="C375" s="1">
        <v>43714</v>
      </c>
      <c r="D375">
        <v>2019</v>
      </c>
      <c r="E375">
        <v>9</v>
      </c>
      <c r="F375">
        <v>0</v>
      </c>
      <c r="G375" t="s">
        <v>9</v>
      </c>
    </row>
    <row r="376" spans="1:7" x14ac:dyDescent="0.25">
      <c r="A376" t="s">
        <v>7</v>
      </c>
      <c r="B376" t="s">
        <v>11</v>
      </c>
      <c r="C376" s="1">
        <v>43716</v>
      </c>
      <c r="D376">
        <v>2019</v>
      </c>
      <c r="E376">
        <v>9</v>
      </c>
      <c r="F376">
        <v>0.148912454</v>
      </c>
      <c r="G376" t="s">
        <v>9</v>
      </c>
    </row>
    <row r="377" spans="1:7" x14ac:dyDescent="0.25">
      <c r="A377" t="s">
        <v>7</v>
      </c>
      <c r="B377" t="s">
        <v>11</v>
      </c>
      <c r="C377" s="1">
        <v>43718</v>
      </c>
      <c r="D377">
        <v>2019</v>
      </c>
      <c r="E377">
        <v>9</v>
      </c>
      <c r="F377">
        <v>0</v>
      </c>
      <c r="G377" t="s">
        <v>9</v>
      </c>
    </row>
    <row r="378" spans="1:7" x14ac:dyDescent="0.25">
      <c r="A378" t="s">
        <v>7</v>
      </c>
      <c r="B378" t="s">
        <v>11</v>
      </c>
      <c r="C378" s="1">
        <v>43719</v>
      </c>
      <c r="D378">
        <v>2019</v>
      </c>
      <c r="E378">
        <v>9</v>
      </c>
      <c r="F378">
        <v>0</v>
      </c>
      <c r="G378" t="s">
        <v>9</v>
      </c>
    </row>
    <row r="379" spans="1:7" x14ac:dyDescent="0.25">
      <c r="A379" t="s">
        <v>7</v>
      </c>
      <c r="B379" t="s">
        <v>11</v>
      </c>
      <c r="C379" s="1">
        <v>43736</v>
      </c>
      <c r="D379">
        <v>2019</v>
      </c>
      <c r="E379">
        <v>9</v>
      </c>
      <c r="F379">
        <v>0.444175655</v>
      </c>
      <c r="G379" t="s">
        <v>9</v>
      </c>
    </row>
    <row r="380" spans="1:7" x14ac:dyDescent="0.25">
      <c r="A380" t="s">
        <v>7</v>
      </c>
      <c r="B380" t="s">
        <v>11</v>
      </c>
      <c r="C380" s="1">
        <v>43740</v>
      </c>
      <c r="D380">
        <v>2019</v>
      </c>
      <c r="E380">
        <v>10</v>
      </c>
      <c r="F380">
        <v>0</v>
      </c>
      <c r="G380" t="s">
        <v>9</v>
      </c>
    </row>
    <row r="381" spans="1:7" x14ac:dyDescent="0.25">
      <c r="A381" t="s">
        <v>7</v>
      </c>
      <c r="B381" t="s">
        <v>11</v>
      </c>
      <c r="C381" s="1">
        <v>43744</v>
      </c>
      <c r="D381">
        <v>2019</v>
      </c>
      <c r="E381">
        <v>10</v>
      </c>
      <c r="F381">
        <v>0</v>
      </c>
      <c r="G381" t="s">
        <v>9</v>
      </c>
    </row>
    <row r="382" spans="1:7" x14ac:dyDescent="0.25">
      <c r="A382" t="s">
        <v>7</v>
      </c>
      <c r="B382" t="s">
        <v>11</v>
      </c>
      <c r="C382" s="1">
        <v>43754</v>
      </c>
      <c r="D382">
        <v>2019</v>
      </c>
      <c r="E382">
        <v>10</v>
      </c>
      <c r="F382">
        <v>13.07864322</v>
      </c>
      <c r="G382" t="s">
        <v>9</v>
      </c>
    </row>
    <row r="383" spans="1:7" x14ac:dyDescent="0.25">
      <c r="A383" t="s">
        <v>7</v>
      </c>
      <c r="B383" t="s">
        <v>11</v>
      </c>
      <c r="C383" s="1">
        <v>43760</v>
      </c>
      <c r="D383">
        <v>2019</v>
      </c>
      <c r="E383">
        <v>10</v>
      </c>
      <c r="F383">
        <v>82.366142670000002</v>
      </c>
      <c r="G383" t="s">
        <v>9</v>
      </c>
    </row>
    <row r="384" spans="1:7" x14ac:dyDescent="0.25">
      <c r="A384" t="s">
        <v>7</v>
      </c>
      <c r="B384" t="s">
        <v>11</v>
      </c>
      <c r="C384" s="1">
        <v>43771</v>
      </c>
      <c r="D384">
        <v>2019</v>
      </c>
      <c r="E384">
        <v>11</v>
      </c>
      <c r="F384">
        <v>1.388060217</v>
      </c>
      <c r="G384" t="s">
        <v>9</v>
      </c>
    </row>
    <row r="385" spans="1:7" x14ac:dyDescent="0.25">
      <c r="A385" t="s">
        <v>7</v>
      </c>
      <c r="B385" t="s">
        <v>11</v>
      </c>
      <c r="C385" s="1">
        <v>43772</v>
      </c>
      <c r="D385">
        <v>2019</v>
      </c>
      <c r="E385">
        <v>11</v>
      </c>
      <c r="F385">
        <v>0</v>
      </c>
      <c r="G385" t="s">
        <v>9</v>
      </c>
    </row>
    <row r="386" spans="1:7" x14ac:dyDescent="0.25">
      <c r="A386" t="s">
        <v>7</v>
      </c>
      <c r="B386" t="s">
        <v>11</v>
      </c>
      <c r="C386" s="1">
        <v>43777</v>
      </c>
      <c r="D386">
        <v>2019</v>
      </c>
      <c r="E386">
        <v>11</v>
      </c>
      <c r="F386">
        <v>0</v>
      </c>
      <c r="G386" t="s">
        <v>9</v>
      </c>
    </row>
    <row r="387" spans="1:7" x14ac:dyDescent="0.25">
      <c r="A387" t="s">
        <v>7</v>
      </c>
      <c r="B387" t="s">
        <v>11</v>
      </c>
      <c r="C387" s="1">
        <v>43794</v>
      </c>
      <c r="D387">
        <v>2019</v>
      </c>
      <c r="E387">
        <v>11</v>
      </c>
      <c r="F387">
        <v>3.2949050049999999</v>
      </c>
      <c r="G387" t="s">
        <v>9</v>
      </c>
    </row>
    <row r="388" spans="1:7" x14ac:dyDescent="0.25">
      <c r="A388" t="s">
        <v>7</v>
      </c>
      <c r="B388" t="s">
        <v>11</v>
      </c>
      <c r="C388" s="1">
        <v>43795</v>
      </c>
      <c r="D388">
        <v>2019</v>
      </c>
      <c r="E388">
        <v>11</v>
      </c>
      <c r="F388">
        <v>1.815261005</v>
      </c>
      <c r="G388" t="s">
        <v>9</v>
      </c>
    </row>
    <row r="389" spans="1:7" x14ac:dyDescent="0.25">
      <c r="A389" t="s">
        <v>7</v>
      </c>
      <c r="B389" t="s">
        <v>11</v>
      </c>
      <c r="C389" s="1">
        <v>43800</v>
      </c>
      <c r="D389">
        <v>2019</v>
      </c>
      <c r="E389">
        <v>12</v>
      </c>
      <c r="F389">
        <v>94.859351410000002</v>
      </c>
      <c r="G389" t="s">
        <v>9</v>
      </c>
    </row>
    <row r="390" spans="1:7" x14ac:dyDescent="0.25">
      <c r="A390" t="s">
        <v>7</v>
      </c>
      <c r="B390" t="s">
        <v>11</v>
      </c>
      <c r="C390" s="1">
        <v>43804</v>
      </c>
      <c r="D390">
        <v>2019</v>
      </c>
      <c r="E390">
        <v>12</v>
      </c>
      <c r="F390">
        <v>0</v>
      </c>
      <c r="G390" t="s">
        <v>9</v>
      </c>
    </row>
    <row r="391" spans="1:7" x14ac:dyDescent="0.25">
      <c r="A391" t="s">
        <v>7</v>
      </c>
      <c r="B391" t="s">
        <v>11</v>
      </c>
      <c r="C391" s="1">
        <v>43814</v>
      </c>
      <c r="D391">
        <v>2019</v>
      </c>
      <c r="E391">
        <v>12</v>
      </c>
      <c r="F391">
        <v>0.81098743699999998</v>
      </c>
      <c r="G391" t="s">
        <v>9</v>
      </c>
    </row>
    <row r="392" spans="1:7" x14ac:dyDescent="0.25">
      <c r="A392" t="s">
        <v>7</v>
      </c>
      <c r="B392" t="s">
        <v>11</v>
      </c>
      <c r="C392" s="1">
        <v>43816</v>
      </c>
      <c r="D392">
        <v>2019</v>
      </c>
      <c r="E392">
        <v>12</v>
      </c>
      <c r="F392">
        <v>4.3230092610000002</v>
      </c>
      <c r="G392" t="s">
        <v>9</v>
      </c>
    </row>
    <row r="393" spans="1:7" x14ac:dyDescent="0.25">
      <c r="A393" t="s">
        <v>7</v>
      </c>
      <c r="B393" t="s">
        <v>11</v>
      </c>
      <c r="C393" s="1">
        <v>43821</v>
      </c>
      <c r="D393">
        <v>2019</v>
      </c>
      <c r="E393">
        <v>12</v>
      </c>
      <c r="F393">
        <v>0</v>
      </c>
      <c r="G393" t="s">
        <v>9</v>
      </c>
    </row>
    <row r="394" spans="1:7" x14ac:dyDescent="0.25">
      <c r="A394" t="s">
        <v>7</v>
      </c>
      <c r="B394" t="s">
        <v>11</v>
      </c>
      <c r="C394" s="1">
        <v>43822</v>
      </c>
      <c r="D394">
        <v>2019</v>
      </c>
      <c r="E394">
        <v>12</v>
      </c>
      <c r="F394">
        <v>0</v>
      </c>
      <c r="G394" t="s">
        <v>9</v>
      </c>
    </row>
    <row r="395" spans="1:7" x14ac:dyDescent="0.25">
      <c r="A395" t="s">
        <v>7</v>
      </c>
      <c r="B395" t="s">
        <v>11</v>
      </c>
      <c r="C395" s="1">
        <v>43825</v>
      </c>
      <c r="D395">
        <v>2019</v>
      </c>
      <c r="E395">
        <v>12</v>
      </c>
      <c r="F395">
        <v>3.5119247630000001</v>
      </c>
      <c r="G395" t="s">
        <v>9</v>
      </c>
    </row>
    <row r="396" spans="1:7" x14ac:dyDescent="0.25">
      <c r="A396" t="s">
        <v>7</v>
      </c>
      <c r="B396" t="s">
        <v>11</v>
      </c>
      <c r="C396" s="1">
        <v>43826</v>
      </c>
      <c r="D396">
        <v>2019</v>
      </c>
      <c r="E396">
        <v>12</v>
      </c>
      <c r="F396">
        <v>0</v>
      </c>
      <c r="G396" t="s">
        <v>9</v>
      </c>
    </row>
    <row r="397" spans="1:7" x14ac:dyDescent="0.25">
      <c r="A397" t="s">
        <v>7</v>
      </c>
      <c r="B397" t="s">
        <v>12</v>
      </c>
      <c r="C397" s="1">
        <v>43469</v>
      </c>
      <c r="D397">
        <v>2019</v>
      </c>
      <c r="E397">
        <v>1</v>
      </c>
      <c r="F397">
        <v>0</v>
      </c>
      <c r="G397" t="s">
        <v>9</v>
      </c>
    </row>
    <row r="398" spans="1:7" x14ac:dyDescent="0.25">
      <c r="A398" t="s">
        <v>7</v>
      </c>
      <c r="B398" t="s">
        <v>12</v>
      </c>
      <c r="C398" s="1">
        <v>43471</v>
      </c>
      <c r="D398">
        <v>2019</v>
      </c>
      <c r="E398">
        <v>1</v>
      </c>
      <c r="F398">
        <v>0</v>
      </c>
      <c r="G398" t="s">
        <v>9</v>
      </c>
    </row>
    <row r="399" spans="1:7" x14ac:dyDescent="0.25">
      <c r="A399" t="s">
        <v>7</v>
      </c>
      <c r="B399" t="s">
        <v>12</v>
      </c>
      <c r="C399" s="1">
        <v>43477</v>
      </c>
      <c r="D399">
        <v>2019</v>
      </c>
      <c r="E399">
        <v>1</v>
      </c>
      <c r="F399">
        <v>0</v>
      </c>
      <c r="G399" t="s">
        <v>9</v>
      </c>
    </row>
    <row r="400" spans="1:7" x14ac:dyDescent="0.25">
      <c r="A400" t="s">
        <v>7</v>
      </c>
      <c r="B400" t="s">
        <v>12</v>
      </c>
      <c r="C400" s="1">
        <v>43509</v>
      </c>
      <c r="D400">
        <v>2019</v>
      </c>
      <c r="E400">
        <v>2</v>
      </c>
      <c r="F400">
        <v>0</v>
      </c>
      <c r="G400" t="s">
        <v>9</v>
      </c>
    </row>
    <row r="401" spans="1:7" x14ac:dyDescent="0.25">
      <c r="A401" t="s">
        <v>7</v>
      </c>
      <c r="B401" t="s">
        <v>12</v>
      </c>
      <c r="C401" s="1">
        <v>43511</v>
      </c>
      <c r="D401">
        <v>2019</v>
      </c>
      <c r="E401">
        <v>2</v>
      </c>
      <c r="F401">
        <v>0</v>
      </c>
      <c r="G401" t="s">
        <v>9</v>
      </c>
    </row>
    <row r="402" spans="1:7" x14ac:dyDescent="0.25">
      <c r="A402" t="s">
        <v>7</v>
      </c>
      <c r="B402" t="s">
        <v>12</v>
      </c>
      <c r="C402" s="1">
        <v>43518</v>
      </c>
      <c r="D402">
        <v>2019</v>
      </c>
      <c r="E402">
        <v>2</v>
      </c>
      <c r="F402">
        <v>0</v>
      </c>
      <c r="G402" t="s">
        <v>9</v>
      </c>
    </row>
    <row r="403" spans="1:7" x14ac:dyDescent="0.25">
      <c r="A403" t="s">
        <v>7</v>
      </c>
      <c r="B403" t="s">
        <v>12</v>
      </c>
      <c r="C403" s="1">
        <v>43525</v>
      </c>
      <c r="D403">
        <v>2019</v>
      </c>
      <c r="E403">
        <v>3</v>
      </c>
      <c r="F403">
        <v>0</v>
      </c>
      <c r="G403" t="s">
        <v>9</v>
      </c>
    </row>
    <row r="404" spans="1:7" x14ac:dyDescent="0.25">
      <c r="A404" t="s">
        <v>7</v>
      </c>
      <c r="B404" t="s">
        <v>12</v>
      </c>
      <c r="C404" s="1">
        <v>43527</v>
      </c>
      <c r="D404">
        <v>2019</v>
      </c>
      <c r="E404">
        <v>3</v>
      </c>
      <c r="F404">
        <v>0</v>
      </c>
      <c r="G404" t="s">
        <v>9</v>
      </c>
    </row>
    <row r="405" spans="1:7" x14ac:dyDescent="0.25">
      <c r="A405" t="s">
        <v>7</v>
      </c>
      <c r="B405" t="s">
        <v>12</v>
      </c>
      <c r="C405" s="1">
        <v>43528</v>
      </c>
      <c r="D405">
        <v>2019</v>
      </c>
      <c r="E405">
        <v>3</v>
      </c>
      <c r="F405">
        <v>0</v>
      </c>
      <c r="G405" t="s">
        <v>9</v>
      </c>
    </row>
    <row r="406" spans="1:7" x14ac:dyDescent="0.25">
      <c r="A406" t="s">
        <v>7</v>
      </c>
      <c r="B406" t="s">
        <v>12</v>
      </c>
      <c r="C406" s="1">
        <v>43533</v>
      </c>
      <c r="D406">
        <v>2019</v>
      </c>
      <c r="E406">
        <v>3</v>
      </c>
      <c r="F406">
        <v>0</v>
      </c>
      <c r="G406" t="s">
        <v>9</v>
      </c>
    </row>
    <row r="407" spans="1:7" x14ac:dyDescent="0.25">
      <c r="A407" t="s">
        <v>7</v>
      </c>
      <c r="B407" t="s">
        <v>12</v>
      </c>
      <c r="C407" s="1">
        <v>43538</v>
      </c>
      <c r="D407">
        <v>2019</v>
      </c>
      <c r="E407">
        <v>3</v>
      </c>
      <c r="F407">
        <v>0</v>
      </c>
      <c r="G407" t="s">
        <v>9</v>
      </c>
    </row>
    <row r="408" spans="1:7" x14ac:dyDescent="0.25">
      <c r="A408" t="s">
        <v>7</v>
      </c>
      <c r="B408" t="s">
        <v>12</v>
      </c>
      <c r="C408" s="1">
        <v>43539</v>
      </c>
      <c r="D408">
        <v>2019</v>
      </c>
      <c r="E408">
        <v>3</v>
      </c>
      <c r="F408">
        <v>0</v>
      </c>
      <c r="G408" t="s">
        <v>9</v>
      </c>
    </row>
    <row r="409" spans="1:7" x14ac:dyDescent="0.25">
      <c r="A409" t="s">
        <v>7</v>
      </c>
      <c r="B409" t="s">
        <v>12</v>
      </c>
      <c r="C409" s="1">
        <v>43540</v>
      </c>
      <c r="D409">
        <v>2019</v>
      </c>
      <c r="E409">
        <v>3</v>
      </c>
      <c r="F409">
        <v>0</v>
      </c>
      <c r="G409" t="s">
        <v>9</v>
      </c>
    </row>
    <row r="410" spans="1:7" x14ac:dyDescent="0.25">
      <c r="A410" t="s">
        <v>7</v>
      </c>
      <c r="B410" t="s">
        <v>12</v>
      </c>
      <c r="C410" s="1">
        <v>43554</v>
      </c>
      <c r="D410">
        <v>2019</v>
      </c>
      <c r="E410">
        <v>3</v>
      </c>
      <c r="F410">
        <v>0</v>
      </c>
      <c r="G410" t="s">
        <v>9</v>
      </c>
    </row>
    <row r="411" spans="1:7" x14ac:dyDescent="0.25">
      <c r="A411" t="s">
        <v>7</v>
      </c>
      <c r="B411" t="s">
        <v>12</v>
      </c>
      <c r="C411" s="1">
        <v>43570</v>
      </c>
      <c r="D411">
        <v>2019</v>
      </c>
      <c r="E411">
        <v>4</v>
      </c>
      <c r="F411">
        <v>0</v>
      </c>
      <c r="G411" t="s">
        <v>9</v>
      </c>
    </row>
    <row r="412" spans="1:7" x14ac:dyDescent="0.25">
      <c r="A412" t="s">
        <v>7</v>
      </c>
      <c r="B412" t="s">
        <v>12</v>
      </c>
      <c r="C412" s="1">
        <v>43572</v>
      </c>
      <c r="D412">
        <v>2019</v>
      </c>
      <c r="E412">
        <v>4</v>
      </c>
      <c r="F412">
        <v>0</v>
      </c>
      <c r="G412" t="s">
        <v>9</v>
      </c>
    </row>
    <row r="413" spans="1:7" x14ac:dyDescent="0.25">
      <c r="A413" t="s">
        <v>7</v>
      </c>
      <c r="B413" t="s">
        <v>12</v>
      </c>
      <c r="C413" s="1">
        <v>43569</v>
      </c>
      <c r="D413">
        <v>2019</v>
      </c>
      <c r="E413">
        <v>4</v>
      </c>
      <c r="F413">
        <v>0</v>
      </c>
      <c r="G413" t="s">
        <v>9</v>
      </c>
    </row>
    <row r="414" spans="1:7" x14ac:dyDescent="0.25">
      <c r="A414" t="s">
        <v>7</v>
      </c>
      <c r="B414" t="s">
        <v>12</v>
      </c>
      <c r="C414" s="1">
        <v>43573</v>
      </c>
      <c r="D414">
        <v>2019</v>
      </c>
      <c r="E414">
        <v>4</v>
      </c>
      <c r="F414">
        <v>3.8792617319999998</v>
      </c>
      <c r="G414" t="s">
        <v>9</v>
      </c>
    </row>
    <row r="415" spans="1:7" x14ac:dyDescent="0.25">
      <c r="A415" t="s">
        <v>7</v>
      </c>
      <c r="B415" t="s">
        <v>12</v>
      </c>
      <c r="C415" s="1">
        <v>43577</v>
      </c>
      <c r="D415">
        <v>2019</v>
      </c>
      <c r="E415">
        <v>4</v>
      </c>
      <c r="F415">
        <v>0</v>
      </c>
      <c r="G415" t="s">
        <v>9</v>
      </c>
    </row>
    <row r="416" spans="1:7" x14ac:dyDescent="0.25">
      <c r="A416" t="s">
        <v>7</v>
      </c>
      <c r="B416" t="s">
        <v>12</v>
      </c>
      <c r="C416" s="1">
        <v>43578</v>
      </c>
      <c r="D416">
        <v>2019</v>
      </c>
      <c r="E416">
        <v>4</v>
      </c>
      <c r="F416">
        <v>2.8450181479999999</v>
      </c>
      <c r="G416" t="s">
        <v>9</v>
      </c>
    </row>
    <row r="417" spans="1:7" x14ac:dyDescent="0.25">
      <c r="A417" t="s">
        <v>7</v>
      </c>
      <c r="B417" t="s">
        <v>12</v>
      </c>
      <c r="C417" s="1">
        <v>43581</v>
      </c>
      <c r="D417">
        <v>2019</v>
      </c>
      <c r="E417">
        <v>4</v>
      </c>
      <c r="F417">
        <v>0</v>
      </c>
      <c r="G417" t="s">
        <v>9</v>
      </c>
    </row>
    <row r="418" spans="1:7" x14ac:dyDescent="0.25">
      <c r="A418" t="s">
        <v>7</v>
      </c>
      <c r="B418" t="s">
        <v>12</v>
      </c>
      <c r="C418" s="1">
        <v>43590</v>
      </c>
      <c r="D418">
        <v>2019</v>
      </c>
      <c r="E418">
        <v>5</v>
      </c>
      <c r="F418">
        <v>0</v>
      </c>
      <c r="G418" t="s">
        <v>9</v>
      </c>
    </row>
    <row r="419" spans="1:7" x14ac:dyDescent="0.25">
      <c r="A419" t="s">
        <v>7</v>
      </c>
      <c r="B419" t="s">
        <v>12</v>
      </c>
      <c r="C419" s="1">
        <v>43602</v>
      </c>
      <c r="D419">
        <v>2019</v>
      </c>
      <c r="E419">
        <v>5</v>
      </c>
      <c r="F419">
        <v>0.86480659199999999</v>
      </c>
      <c r="G419" t="s">
        <v>9</v>
      </c>
    </row>
    <row r="420" spans="1:7" x14ac:dyDescent="0.25">
      <c r="A420" t="s">
        <v>7</v>
      </c>
      <c r="B420" t="s">
        <v>12</v>
      </c>
      <c r="C420" s="1">
        <v>43615</v>
      </c>
      <c r="D420">
        <v>2019</v>
      </c>
      <c r="E420">
        <v>5</v>
      </c>
      <c r="F420">
        <v>0</v>
      </c>
      <c r="G420" t="s">
        <v>9</v>
      </c>
    </row>
    <row r="421" spans="1:7" x14ac:dyDescent="0.25">
      <c r="A421" t="s">
        <v>7</v>
      </c>
      <c r="B421" t="s">
        <v>12</v>
      </c>
      <c r="C421" s="1">
        <v>43621</v>
      </c>
      <c r="D421">
        <v>2019</v>
      </c>
      <c r="E421">
        <v>6</v>
      </c>
      <c r="F421">
        <v>0</v>
      </c>
      <c r="G421" t="s">
        <v>9</v>
      </c>
    </row>
    <row r="422" spans="1:7" x14ac:dyDescent="0.25">
      <c r="A422" t="s">
        <v>7</v>
      </c>
      <c r="B422" t="s">
        <v>12</v>
      </c>
      <c r="C422" s="1">
        <v>43625</v>
      </c>
      <c r="D422">
        <v>2019</v>
      </c>
      <c r="E422">
        <v>6</v>
      </c>
      <c r="F422">
        <v>0</v>
      </c>
      <c r="G422" t="s">
        <v>9</v>
      </c>
    </row>
    <row r="423" spans="1:7" x14ac:dyDescent="0.25">
      <c r="A423" t="s">
        <v>7</v>
      </c>
      <c r="B423" t="s">
        <v>12</v>
      </c>
      <c r="C423" s="1">
        <v>43632</v>
      </c>
      <c r="D423">
        <v>2019</v>
      </c>
      <c r="E423">
        <v>6</v>
      </c>
      <c r="F423">
        <v>9.1680746079999995</v>
      </c>
      <c r="G423" t="s">
        <v>9</v>
      </c>
    </row>
    <row r="424" spans="1:7" x14ac:dyDescent="0.25">
      <c r="A424" t="s">
        <v>7</v>
      </c>
      <c r="B424" t="s">
        <v>12</v>
      </c>
      <c r="C424" s="1">
        <v>43636</v>
      </c>
      <c r="D424">
        <v>2019</v>
      </c>
      <c r="E424">
        <v>6</v>
      </c>
      <c r="F424">
        <v>34.419643399999998</v>
      </c>
      <c r="G424" t="s">
        <v>9</v>
      </c>
    </row>
    <row r="425" spans="1:7" x14ac:dyDescent="0.25">
      <c r="A425" t="s">
        <v>7</v>
      </c>
      <c r="B425" t="s">
        <v>12</v>
      </c>
      <c r="C425" s="1">
        <v>43645</v>
      </c>
      <c r="D425">
        <v>2019</v>
      </c>
      <c r="E425">
        <v>6</v>
      </c>
      <c r="F425">
        <v>2.1513097289999998</v>
      </c>
      <c r="G425" t="s">
        <v>9</v>
      </c>
    </row>
    <row r="426" spans="1:7" x14ac:dyDescent="0.25">
      <c r="A426" t="s">
        <v>7</v>
      </c>
      <c r="B426" t="s">
        <v>12</v>
      </c>
      <c r="C426" s="1">
        <v>43648</v>
      </c>
      <c r="D426">
        <v>2019</v>
      </c>
      <c r="E426">
        <v>7</v>
      </c>
      <c r="F426">
        <v>3.148211479</v>
      </c>
      <c r="G426" t="s">
        <v>9</v>
      </c>
    </row>
    <row r="427" spans="1:7" x14ac:dyDescent="0.25">
      <c r="A427" t="s">
        <v>7</v>
      </c>
      <c r="B427" t="s">
        <v>12</v>
      </c>
      <c r="C427" s="1">
        <v>43658</v>
      </c>
      <c r="D427">
        <v>2019</v>
      </c>
      <c r="E427">
        <v>7</v>
      </c>
      <c r="F427">
        <v>2.2774562839999999</v>
      </c>
      <c r="G427" t="s">
        <v>9</v>
      </c>
    </row>
    <row r="428" spans="1:7" x14ac:dyDescent="0.25">
      <c r="A428" t="s">
        <v>7</v>
      </c>
      <c r="B428" t="s">
        <v>12</v>
      </c>
      <c r="C428" s="1">
        <v>43666</v>
      </c>
      <c r="D428">
        <v>2019</v>
      </c>
      <c r="E428">
        <v>7</v>
      </c>
      <c r="F428">
        <v>168.23995969999999</v>
      </c>
      <c r="G428" t="s">
        <v>9</v>
      </c>
    </row>
    <row r="429" spans="1:7" x14ac:dyDescent="0.25">
      <c r="A429" t="s">
        <v>7</v>
      </c>
      <c r="B429" t="s">
        <v>12</v>
      </c>
      <c r="C429" s="1">
        <v>43668</v>
      </c>
      <c r="D429">
        <v>2019</v>
      </c>
      <c r="E429">
        <v>7</v>
      </c>
      <c r="F429">
        <v>123.75923160000001</v>
      </c>
      <c r="G429" t="s">
        <v>9</v>
      </c>
    </row>
    <row r="430" spans="1:7" x14ac:dyDescent="0.25">
      <c r="A430" t="s">
        <v>7</v>
      </c>
      <c r="B430" t="s">
        <v>12</v>
      </c>
      <c r="C430" s="1">
        <v>43671</v>
      </c>
      <c r="D430">
        <v>2019</v>
      </c>
      <c r="E430">
        <v>7</v>
      </c>
      <c r="F430">
        <v>21.685743330000001</v>
      </c>
      <c r="G430" t="s">
        <v>9</v>
      </c>
    </row>
    <row r="431" spans="1:7" x14ac:dyDescent="0.25">
      <c r="A431" t="s">
        <v>7</v>
      </c>
      <c r="B431" t="s">
        <v>12</v>
      </c>
      <c r="C431" s="1">
        <v>43676</v>
      </c>
      <c r="D431">
        <v>2019</v>
      </c>
      <c r="E431">
        <v>7</v>
      </c>
      <c r="F431">
        <v>17.849067689999998</v>
      </c>
      <c r="G431" t="s">
        <v>9</v>
      </c>
    </row>
    <row r="432" spans="1:7" x14ac:dyDescent="0.25">
      <c r="A432" t="s">
        <v>7</v>
      </c>
      <c r="B432" t="s">
        <v>12</v>
      </c>
      <c r="C432" s="1">
        <v>43683</v>
      </c>
      <c r="D432">
        <v>2019</v>
      </c>
      <c r="E432">
        <v>8</v>
      </c>
      <c r="F432">
        <v>52.362022400000001</v>
      </c>
      <c r="G432" t="s">
        <v>9</v>
      </c>
    </row>
    <row r="433" spans="1:7" x14ac:dyDescent="0.25">
      <c r="A433" t="s">
        <v>7</v>
      </c>
      <c r="B433" t="s">
        <v>12</v>
      </c>
      <c r="C433" s="1">
        <v>43684</v>
      </c>
      <c r="D433">
        <v>2019</v>
      </c>
      <c r="E433">
        <v>8</v>
      </c>
      <c r="F433">
        <v>96.498107910000002</v>
      </c>
      <c r="G433" t="s">
        <v>9</v>
      </c>
    </row>
    <row r="434" spans="1:7" x14ac:dyDescent="0.25">
      <c r="A434" t="s">
        <v>7</v>
      </c>
      <c r="B434" t="s">
        <v>12</v>
      </c>
      <c r="C434" s="1">
        <v>43692</v>
      </c>
      <c r="D434">
        <v>2019</v>
      </c>
      <c r="E434">
        <v>8</v>
      </c>
      <c r="F434">
        <v>81.161415099999999</v>
      </c>
      <c r="G434" t="s">
        <v>9</v>
      </c>
    </row>
    <row r="435" spans="1:7" x14ac:dyDescent="0.25">
      <c r="A435" t="s">
        <v>7</v>
      </c>
      <c r="B435" t="s">
        <v>12</v>
      </c>
      <c r="C435" s="1">
        <v>43700</v>
      </c>
      <c r="D435">
        <v>2019</v>
      </c>
      <c r="E435">
        <v>8</v>
      </c>
      <c r="F435">
        <v>28.585105899999999</v>
      </c>
      <c r="G435" t="s">
        <v>9</v>
      </c>
    </row>
    <row r="436" spans="1:7" x14ac:dyDescent="0.25">
      <c r="A436" t="s">
        <v>7</v>
      </c>
      <c r="B436" t="s">
        <v>12</v>
      </c>
      <c r="C436" s="1">
        <v>43703</v>
      </c>
      <c r="D436">
        <v>2019</v>
      </c>
      <c r="E436">
        <v>8</v>
      </c>
      <c r="F436">
        <v>104.8212738</v>
      </c>
      <c r="G436" t="s">
        <v>9</v>
      </c>
    </row>
    <row r="437" spans="1:7" x14ac:dyDescent="0.25">
      <c r="A437" t="s">
        <v>7</v>
      </c>
      <c r="B437" t="s">
        <v>12</v>
      </c>
      <c r="C437" s="1">
        <v>43710</v>
      </c>
      <c r="D437">
        <v>2019</v>
      </c>
      <c r="E437">
        <v>9</v>
      </c>
      <c r="F437">
        <v>48.396636960000002</v>
      </c>
      <c r="G437" t="s">
        <v>9</v>
      </c>
    </row>
    <row r="438" spans="1:7" x14ac:dyDescent="0.25">
      <c r="A438" t="s">
        <v>7</v>
      </c>
      <c r="B438" t="s">
        <v>12</v>
      </c>
      <c r="C438" s="1">
        <v>43729</v>
      </c>
      <c r="D438">
        <v>2019</v>
      </c>
      <c r="E438">
        <v>9</v>
      </c>
      <c r="F438">
        <v>0.29819542199999999</v>
      </c>
      <c r="G438" t="s">
        <v>9</v>
      </c>
    </row>
    <row r="439" spans="1:7" x14ac:dyDescent="0.25">
      <c r="A439" t="s">
        <v>7</v>
      </c>
      <c r="B439" t="s">
        <v>12</v>
      </c>
      <c r="C439" s="1">
        <v>43739</v>
      </c>
      <c r="D439">
        <v>2019</v>
      </c>
      <c r="E439">
        <v>10</v>
      </c>
      <c r="F439">
        <v>38.669124600000004</v>
      </c>
      <c r="G439" t="s">
        <v>9</v>
      </c>
    </row>
    <row r="440" spans="1:7" x14ac:dyDescent="0.25">
      <c r="A440" t="s">
        <v>7</v>
      </c>
      <c r="B440" t="s">
        <v>12</v>
      </c>
      <c r="C440" s="1">
        <v>43745</v>
      </c>
      <c r="D440">
        <v>2019</v>
      </c>
      <c r="E440">
        <v>10</v>
      </c>
      <c r="F440">
        <v>0</v>
      </c>
      <c r="G440" t="s">
        <v>9</v>
      </c>
    </row>
    <row r="441" spans="1:7" x14ac:dyDescent="0.25">
      <c r="A441" t="s">
        <v>7</v>
      </c>
      <c r="B441" t="s">
        <v>12</v>
      </c>
      <c r="C441" s="1">
        <v>43747</v>
      </c>
      <c r="D441">
        <v>2019</v>
      </c>
      <c r="E441">
        <v>10</v>
      </c>
      <c r="F441">
        <v>3.983119726</v>
      </c>
      <c r="G441" t="s">
        <v>9</v>
      </c>
    </row>
    <row r="442" spans="1:7" x14ac:dyDescent="0.25">
      <c r="A442" t="s">
        <v>7</v>
      </c>
      <c r="B442" t="s">
        <v>12</v>
      </c>
      <c r="C442" s="1">
        <v>43748</v>
      </c>
      <c r="D442">
        <v>2019</v>
      </c>
      <c r="E442">
        <v>10</v>
      </c>
      <c r="F442">
        <v>0</v>
      </c>
      <c r="G442" t="s">
        <v>9</v>
      </c>
    </row>
    <row r="443" spans="1:7" x14ac:dyDescent="0.25">
      <c r="A443" t="s">
        <v>7</v>
      </c>
      <c r="B443" t="s">
        <v>12</v>
      </c>
      <c r="C443" s="1">
        <v>43758</v>
      </c>
      <c r="D443">
        <v>2019</v>
      </c>
      <c r="E443">
        <v>10</v>
      </c>
      <c r="F443">
        <v>4.4716911320000001</v>
      </c>
      <c r="G443" t="s">
        <v>9</v>
      </c>
    </row>
    <row r="444" spans="1:7" x14ac:dyDescent="0.25">
      <c r="A444" t="s">
        <v>7</v>
      </c>
      <c r="B444" t="s">
        <v>12</v>
      </c>
      <c r="C444" s="1">
        <v>43768</v>
      </c>
      <c r="D444">
        <v>2019</v>
      </c>
      <c r="E444">
        <v>10</v>
      </c>
      <c r="F444">
        <v>0.25559607099999998</v>
      </c>
      <c r="G444" t="s">
        <v>9</v>
      </c>
    </row>
    <row r="445" spans="1:7" x14ac:dyDescent="0.25">
      <c r="A445" t="s">
        <v>7</v>
      </c>
      <c r="B445" t="s">
        <v>12</v>
      </c>
      <c r="C445" s="1">
        <v>43770</v>
      </c>
      <c r="D445">
        <v>2019</v>
      </c>
      <c r="E445">
        <v>11</v>
      </c>
      <c r="F445">
        <v>54.746730800000002</v>
      </c>
      <c r="G445" t="s">
        <v>9</v>
      </c>
    </row>
    <row r="446" spans="1:7" x14ac:dyDescent="0.25">
      <c r="A446" t="s">
        <v>7</v>
      </c>
      <c r="B446" t="s">
        <v>12</v>
      </c>
      <c r="C446" s="1">
        <v>43771</v>
      </c>
      <c r="D446">
        <v>2019</v>
      </c>
      <c r="E446">
        <v>11</v>
      </c>
      <c r="F446">
        <v>0</v>
      </c>
      <c r="G446" t="s">
        <v>9</v>
      </c>
    </row>
    <row r="447" spans="1:7" x14ac:dyDescent="0.25">
      <c r="A447" t="s">
        <v>7</v>
      </c>
      <c r="B447" t="s">
        <v>12</v>
      </c>
      <c r="C447" s="1">
        <v>43774</v>
      </c>
      <c r="D447">
        <v>2019</v>
      </c>
      <c r="E447">
        <v>11</v>
      </c>
      <c r="F447">
        <v>1.405807018</v>
      </c>
      <c r="G447" t="s">
        <v>9</v>
      </c>
    </row>
    <row r="448" spans="1:7" x14ac:dyDescent="0.25">
      <c r="A448" t="s">
        <v>7</v>
      </c>
      <c r="B448" t="s">
        <v>12</v>
      </c>
      <c r="C448" s="1">
        <v>43775</v>
      </c>
      <c r="D448">
        <v>2019</v>
      </c>
      <c r="E448">
        <v>11</v>
      </c>
      <c r="F448">
        <v>0</v>
      </c>
      <c r="G448" t="s">
        <v>9</v>
      </c>
    </row>
    <row r="449" spans="1:7" x14ac:dyDescent="0.25">
      <c r="A449" t="s">
        <v>7</v>
      </c>
      <c r="B449" t="s">
        <v>12</v>
      </c>
      <c r="C449" s="1">
        <v>43778</v>
      </c>
      <c r="D449">
        <v>2019</v>
      </c>
      <c r="E449">
        <v>11</v>
      </c>
      <c r="F449">
        <v>0</v>
      </c>
      <c r="G449" t="s">
        <v>9</v>
      </c>
    </row>
    <row r="450" spans="1:7" x14ac:dyDescent="0.25">
      <c r="A450" t="s">
        <v>7</v>
      </c>
      <c r="B450" t="s">
        <v>12</v>
      </c>
      <c r="C450" s="1">
        <v>43783</v>
      </c>
      <c r="D450">
        <v>2019</v>
      </c>
      <c r="E450">
        <v>11</v>
      </c>
      <c r="F450">
        <v>0</v>
      </c>
      <c r="G450" t="s">
        <v>9</v>
      </c>
    </row>
    <row r="451" spans="1:7" x14ac:dyDescent="0.25">
      <c r="A451" t="s">
        <v>7</v>
      </c>
      <c r="B451" t="s">
        <v>12</v>
      </c>
      <c r="C451" s="1">
        <v>43787</v>
      </c>
      <c r="D451">
        <v>2019</v>
      </c>
      <c r="E451">
        <v>11</v>
      </c>
      <c r="F451">
        <v>0</v>
      </c>
      <c r="G451" t="s">
        <v>9</v>
      </c>
    </row>
    <row r="452" spans="1:7" x14ac:dyDescent="0.25">
      <c r="A452" t="s">
        <v>7</v>
      </c>
      <c r="B452" t="s">
        <v>12</v>
      </c>
      <c r="C452" s="1">
        <v>43793</v>
      </c>
      <c r="D452">
        <v>2019</v>
      </c>
      <c r="E452">
        <v>11</v>
      </c>
      <c r="F452">
        <v>0</v>
      </c>
      <c r="G452" t="s">
        <v>9</v>
      </c>
    </row>
    <row r="453" spans="1:7" x14ac:dyDescent="0.25">
      <c r="A453" t="s">
        <v>7</v>
      </c>
      <c r="B453" t="s">
        <v>12</v>
      </c>
      <c r="C453" s="1">
        <v>43799</v>
      </c>
      <c r="D453">
        <v>2019</v>
      </c>
      <c r="E453">
        <v>11</v>
      </c>
      <c r="F453">
        <v>1.3122936489999999</v>
      </c>
      <c r="G453" t="s">
        <v>9</v>
      </c>
    </row>
    <row r="454" spans="1:7" x14ac:dyDescent="0.25">
      <c r="A454" t="s">
        <v>7</v>
      </c>
      <c r="B454" t="s">
        <v>12</v>
      </c>
      <c r="C454" s="1">
        <v>43800</v>
      </c>
      <c r="D454">
        <v>2019</v>
      </c>
      <c r="E454">
        <v>12</v>
      </c>
      <c r="F454">
        <v>0.435824722</v>
      </c>
      <c r="G454" t="s">
        <v>9</v>
      </c>
    </row>
    <row r="455" spans="1:7" x14ac:dyDescent="0.25">
      <c r="A455" t="s">
        <v>7</v>
      </c>
      <c r="B455" t="s">
        <v>12</v>
      </c>
      <c r="C455" s="1">
        <v>43805</v>
      </c>
      <c r="D455">
        <v>2019</v>
      </c>
      <c r="E455">
        <v>12</v>
      </c>
      <c r="F455">
        <v>0</v>
      </c>
      <c r="G455" t="s">
        <v>9</v>
      </c>
    </row>
    <row r="456" spans="1:7" x14ac:dyDescent="0.25">
      <c r="A456" t="s">
        <v>7</v>
      </c>
      <c r="B456" t="s">
        <v>12</v>
      </c>
      <c r="C456" s="1">
        <v>43812</v>
      </c>
      <c r="D456">
        <v>2019</v>
      </c>
      <c r="E456">
        <v>12</v>
      </c>
      <c r="F456">
        <v>0</v>
      </c>
      <c r="G456" t="s">
        <v>9</v>
      </c>
    </row>
    <row r="457" spans="1:7" x14ac:dyDescent="0.25">
      <c r="A457" t="s">
        <v>7</v>
      </c>
      <c r="B457" t="s">
        <v>12</v>
      </c>
      <c r="C457" s="1">
        <v>43814</v>
      </c>
      <c r="D457">
        <v>2019</v>
      </c>
      <c r="E457">
        <v>12</v>
      </c>
      <c r="F457">
        <v>3.7731947899999998</v>
      </c>
      <c r="G457" t="s">
        <v>9</v>
      </c>
    </row>
    <row r="458" spans="1:7" x14ac:dyDescent="0.25">
      <c r="A458" t="s">
        <v>7</v>
      </c>
      <c r="B458" t="s">
        <v>12</v>
      </c>
      <c r="C458" s="1">
        <v>43817</v>
      </c>
      <c r="D458">
        <v>2019</v>
      </c>
      <c r="E458">
        <v>12</v>
      </c>
      <c r="F458">
        <v>0</v>
      </c>
      <c r="G458" t="s">
        <v>9</v>
      </c>
    </row>
    <row r="459" spans="1:7" x14ac:dyDescent="0.25">
      <c r="A459" t="s">
        <v>7</v>
      </c>
      <c r="B459" t="s">
        <v>12</v>
      </c>
      <c r="C459" s="1">
        <v>43819</v>
      </c>
      <c r="D459">
        <v>2019</v>
      </c>
      <c r="E459">
        <v>12</v>
      </c>
      <c r="F459">
        <v>0</v>
      </c>
      <c r="G459" t="s">
        <v>9</v>
      </c>
    </row>
    <row r="460" spans="1:7" x14ac:dyDescent="0.25">
      <c r="A460" t="s">
        <v>7</v>
      </c>
      <c r="B460" t="s">
        <v>12</v>
      </c>
      <c r="C460" s="1">
        <v>43821</v>
      </c>
      <c r="D460">
        <v>2019</v>
      </c>
      <c r="E460">
        <v>12</v>
      </c>
      <c r="F460">
        <v>0</v>
      </c>
      <c r="G460" t="s">
        <v>9</v>
      </c>
    </row>
    <row r="461" spans="1:7" x14ac:dyDescent="0.25">
      <c r="A461" t="s">
        <v>7</v>
      </c>
      <c r="B461" t="s">
        <v>12</v>
      </c>
      <c r="C461" s="1">
        <v>43830</v>
      </c>
      <c r="D461">
        <v>2019</v>
      </c>
      <c r="E461">
        <v>12</v>
      </c>
      <c r="F461">
        <v>0</v>
      </c>
      <c r="G461" t="s">
        <v>9</v>
      </c>
    </row>
    <row r="462" spans="1:7" x14ac:dyDescent="0.25">
      <c r="A462" t="s">
        <v>7</v>
      </c>
      <c r="B462" t="s">
        <v>8</v>
      </c>
      <c r="C462" s="1">
        <v>43466</v>
      </c>
      <c r="D462">
        <v>2019</v>
      </c>
      <c r="E462">
        <v>1</v>
      </c>
      <c r="F462">
        <v>0</v>
      </c>
      <c r="G462" t="s">
        <v>9</v>
      </c>
    </row>
    <row r="463" spans="1:7" x14ac:dyDescent="0.25">
      <c r="A463" t="s">
        <v>7</v>
      </c>
      <c r="B463" t="s">
        <v>8</v>
      </c>
      <c r="C463" s="1">
        <v>43470</v>
      </c>
      <c r="D463">
        <v>2019</v>
      </c>
      <c r="E463">
        <v>1</v>
      </c>
      <c r="F463">
        <v>0</v>
      </c>
      <c r="G463" t="s">
        <v>9</v>
      </c>
    </row>
    <row r="464" spans="1:7" x14ac:dyDescent="0.25">
      <c r="A464" t="s">
        <v>7</v>
      </c>
      <c r="B464" t="s">
        <v>8</v>
      </c>
      <c r="C464" s="1">
        <v>43472</v>
      </c>
      <c r="D464">
        <v>2019</v>
      </c>
      <c r="E464">
        <v>1</v>
      </c>
      <c r="F464">
        <v>0</v>
      </c>
      <c r="G464" t="s">
        <v>9</v>
      </c>
    </row>
    <row r="465" spans="1:7" x14ac:dyDescent="0.25">
      <c r="A465" t="s">
        <v>7</v>
      </c>
      <c r="B465" t="s">
        <v>8</v>
      </c>
      <c r="C465" s="1">
        <v>43490</v>
      </c>
      <c r="D465">
        <v>2019</v>
      </c>
      <c r="E465">
        <v>1</v>
      </c>
      <c r="F465">
        <v>0</v>
      </c>
      <c r="G465" t="s">
        <v>9</v>
      </c>
    </row>
    <row r="466" spans="1:7" x14ac:dyDescent="0.25">
      <c r="A466" t="s">
        <v>7</v>
      </c>
      <c r="B466" t="s">
        <v>8</v>
      </c>
      <c r="C466" s="1">
        <v>43494</v>
      </c>
      <c r="D466">
        <v>2019</v>
      </c>
      <c r="E466">
        <v>1</v>
      </c>
      <c r="F466">
        <v>0</v>
      </c>
      <c r="G466" t="s">
        <v>9</v>
      </c>
    </row>
    <row r="467" spans="1:7" x14ac:dyDescent="0.25">
      <c r="A467" t="s">
        <v>7</v>
      </c>
      <c r="B467" t="s">
        <v>8</v>
      </c>
      <c r="C467" s="1">
        <v>43497</v>
      </c>
      <c r="D467">
        <v>2019</v>
      </c>
      <c r="E467">
        <v>2</v>
      </c>
      <c r="F467">
        <v>0</v>
      </c>
      <c r="G467" t="s">
        <v>9</v>
      </c>
    </row>
    <row r="468" spans="1:7" x14ac:dyDescent="0.25">
      <c r="A468" t="s">
        <v>7</v>
      </c>
      <c r="B468" t="s">
        <v>8</v>
      </c>
      <c r="C468" s="1">
        <v>43525</v>
      </c>
      <c r="D468">
        <v>2019</v>
      </c>
      <c r="E468">
        <v>3</v>
      </c>
      <c r="F468">
        <v>0</v>
      </c>
      <c r="G468" t="s">
        <v>9</v>
      </c>
    </row>
    <row r="469" spans="1:7" x14ac:dyDescent="0.25">
      <c r="A469" t="s">
        <v>7</v>
      </c>
      <c r="B469" t="s">
        <v>8</v>
      </c>
      <c r="C469" s="1">
        <v>43527</v>
      </c>
      <c r="D469">
        <v>2019</v>
      </c>
      <c r="E469">
        <v>3</v>
      </c>
      <c r="F469">
        <v>0</v>
      </c>
      <c r="G469" t="s">
        <v>9</v>
      </c>
    </row>
    <row r="470" spans="1:7" x14ac:dyDescent="0.25">
      <c r="A470" t="s">
        <v>7</v>
      </c>
      <c r="B470" t="s">
        <v>8</v>
      </c>
      <c r="C470" s="1">
        <v>43537</v>
      </c>
      <c r="D470">
        <v>2019</v>
      </c>
      <c r="E470">
        <v>3</v>
      </c>
      <c r="F470">
        <v>0</v>
      </c>
      <c r="G470" t="s">
        <v>9</v>
      </c>
    </row>
    <row r="471" spans="1:7" x14ac:dyDescent="0.25">
      <c r="A471" t="s">
        <v>7</v>
      </c>
      <c r="B471" t="s">
        <v>8</v>
      </c>
      <c r="C471" s="1">
        <v>43539</v>
      </c>
      <c r="D471">
        <v>2019</v>
      </c>
      <c r="E471">
        <v>3</v>
      </c>
      <c r="F471">
        <v>0</v>
      </c>
      <c r="G471" t="s">
        <v>9</v>
      </c>
    </row>
    <row r="472" spans="1:7" x14ac:dyDescent="0.25">
      <c r="A472" t="s">
        <v>7</v>
      </c>
      <c r="B472" t="s">
        <v>8</v>
      </c>
      <c r="C472" s="1">
        <v>43540</v>
      </c>
      <c r="D472">
        <v>2019</v>
      </c>
      <c r="E472">
        <v>3</v>
      </c>
      <c r="F472">
        <v>0</v>
      </c>
      <c r="G472" t="s">
        <v>9</v>
      </c>
    </row>
    <row r="473" spans="1:7" x14ac:dyDescent="0.25">
      <c r="A473" t="s">
        <v>7</v>
      </c>
      <c r="B473" t="s">
        <v>8</v>
      </c>
      <c r="C473" s="1">
        <v>43544</v>
      </c>
      <c r="D473">
        <v>2019</v>
      </c>
      <c r="E473">
        <v>3</v>
      </c>
      <c r="F473">
        <v>0</v>
      </c>
      <c r="G473" t="s">
        <v>9</v>
      </c>
    </row>
    <row r="474" spans="1:7" x14ac:dyDescent="0.25">
      <c r="A474" t="s">
        <v>7</v>
      </c>
      <c r="B474" t="s">
        <v>8</v>
      </c>
      <c r="C474" s="1">
        <v>43564</v>
      </c>
      <c r="D474">
        <v>2019</v>
      </c>
      <c r="E474">
        <v>4</v>
      </c>
      <c r="F474">
        <v>0</v>
      </c>
      <c r="G474" t="s">
        <v>9</v>
      </c>
    </row>
    <row r="475" spans="1:7" x14ac:dyDescent="0.25">
      <c r="A475" t="s">
        <v>7</v>
      </c>
      <c r="B475" t="s">
        <v>8</v>
      </c>
      <c r="C475" s="1">
        <v>43565</v>
      </c>
      <c r="D475">
        <v>2019</v>
      </c>
      <c r="E475">
        <v>4</v>
      </c>
      <c r="F475">
        <v>0</v>
      </c>
      <c r="G475" t="s">
        <v>9</v>
      </c>
    </row>
    <row r="476" spans="1:7" x14ac:dyDescent="0.25">
      <c r="A476" t="s">
        <v>7</v>
      </c>
      <c r="B476" t="s">
        <v>8</v>
      </c>
      <c r="C476" s="1">
        <v>43568</v>
      </c>
      <c r="D476">
        <v>2019</v>
      </c>
      <c r="E476">
        <v>4</v>
      </c>
      <c r="F476">
        <v>0</v>
      </c>
      <c r="G476" t="s">
        <v>9</v>
      </c>
    </row>
    <row r="477" spans="1:7" x14ac:dyDescent="0.25">
      <c r="A477" t="s">
        <v>7</v>
      </c>
      <c r="B477" t="s">
        <v>8</v>
      </c>
      <c r="C477" s="1">
        <v>43588</v>
      </c>
      <c r="D477">
        <v>2019</v>
      </c>
      <c r="E477">
        <v>5</v>
      </c>
      <c r="F477">
        <v>0</v>
      </c>
      <c r="G477" t="s">
        <v>9</v>
      </c>
    </row>
    <row r="478" spans="1:7" x14ac:dyDescent="0.25">
      <c r="A478" t="s">
        <v>7</v>
      </c>
      <c r="B478" t="s">
        <v>8</v>
      </c>
      <c r="C478" s="1">
        <v>43592</v>
      </c>
      <c r="D478">
        <v>2019</v>
      </c>
      <c r="E478">
        <v>5</v>
      </c>
      <c r="F478">
        <v>0</v>
      </c>
      <c r="G478" t="s">
        <v>9</v>
      </c>
    </row>
    <row r="479" spans="1:7" x14ac:dyDescent="0.25">
      <c r="A479" t="s">
        <v>7</v>
      </c>
      <c r="B479" t="s">
        <v>8</v>
      </c>
      <c r="C479" s="1">
        <v>43599</v>
      </c>
      <c r="D479">
        <v>2019</v>
      </c>
      <c r="E479">
        <v>5</v>
      </c>
      <c r="F479">
        <v>0</v>
      </c>
      <c r="G479" t="s">
        <v>9</v>
      </c>
    </row>
    <row r="480" spans="1:7" x14ac:dyDescent="0.25">
      <c r="A480" t="s">
        <v>7</v>
      </c>
      <c r="B480" t="s">
        <v>8</v>
      </c>
      <c r="C480" s="1">
        <v>43601</v>
      </c>
      <c r="D480">
        <v>2019</v>
      </c>
      <c r="E480">
        <v>5</v>
      </c>
      <c r="F480">
        <v>0</v>
      </c>
      <c r="G480" t="s">
        <v>9</v>
      </c>
    </row>
    <row r="481" spans="1:7" x14ac:dyDescent="0.25">
      <c r="A481" t="s">
        <v>7</v>
      </c>
      <c r="B481" t="s">
        <v>8</v>
      </c>
      <c r="C481" s="1">
        <v>43603</v>
      </c>
      <c r="D481">
        <v>2019</v>
      </c>
      <c r="E481">
        <v>5</v>
      </c>
      <c r="F481">
        <v>0</v>
      </c>
      <c r="G481" t="s">
        <v>9</v>
      </c>
    </row>
    <row r="482" spans="1:7" x14ac:dyDescent="0.25">
      <c r="A482" t="s">
        <v>7</v>
      </c>
      <c r="B482" t="s">
        <v>8</v>
      </c>
      <c r="C482" s="1">
        <v>43604</v>
      </c>
      <c r="D482">
        <v>2019</v>
      </c>
      <c r="E482">
        <v>5</v>
      </c>
      <c r="F482">
        <v>0</v>
      </c>
      <c r="G482" t="s">
        <v>9</v>
      </c>
    </row>
    <row r="483" spans="1:7" x14ac:dyDescent="0.25">
      <c r="A483" t="s">
        <v>7</v>
      </c>
      <c r="B483" t="s">
        <v>8</v>
      </c>
      <c r="C483" s="1">
        <v>43605</v>
      </c>
      <c r="D483">
        <v>2019</v>
      </c>
      <c r="E483">
        <v>5</v>
      </c>
      <c r="F483">
        <v>0</v>
      </c>
      <c r="G483" t="s">
        <v>9</v>
      </c>
    </row>
    <row r="484" spans="1:7" x14ac:dyDescent="0.25">
      <c r="A484" t="s">
        <v>7</v>
      </c>
      <c r="B484" t="s">
        <v>8</v>
      </c>
      <c r="C484" s="1">
        <v>43608</v>
      </c>
      <c r="D484">
        <v>2019</v>
      </c>
      <c r="E484">
        <v>5</v>
      </c>
      <c r="F484">
        <v>0</v>
      </c>
      <c r="G484" t="s">
        <v>9</v>
      </c>
    </row>
    <row r="485" spans="1:7" x14ac:dyDescent="0.25">
      <c r="A485" t="s">
        <v>7</v>
      </c>
      <c r="B485" t="s">
        <v>8</v>
      </c>
      <c r="C485" s="1">
        <v>43616</v>
      </c>
      <c r="D485">
        <v>2019</v>
      </c>
      <c r="E485">
        <v>5</v>
      </c>
      <c r="F485">
        <v>0</v>
      </c>
      <c r="G485" t="s">
        <v>9</v>
      </c>
    </row>
    <row r="486" spans="1:7" x14ac:dyDescent="0.25">
      <c r="A486" t="s">
        <v>7</v>
      </c>
      <c r="B486" t="s">
        <v>8</v>
      </c>
      <c r="C486" s="1">
        <v>43625</v>
      </c>
      <c r="D486">
        <v>2019</v>
      </c>
      <c r="E486">
        <v>6</v>
      </c>
      <c r="F486">
        <v>0</v>
      </c>
      <c r="G486" t="s">
        <v>9</v>
      </c>
    </row>
    <row r="487" spans="1:7" x14ac:dyDescent="0.25">
      <c r="A487" t="s">
        <v>7</v>
      </c>
      <c r="B487" t="s">
        <v>8</v>
      </c>
      <c r="C487" s="1">
        <v>43626</v>
      </c>
      <c r="D487">
        <v>2019</v>
      </c>
      <c r="E487">
        <v>6</v>
      </c>
      <c r="F487">
        <v>0</v>
      </c>
      <c r="G487" t="s">
        <v>9</v>
      </c>
    </row>
    <row r="488" spans="1:7" x14ac:dyDescent="0.25">
      <c r="A488" t="s">
        <v>7</v>
      </c>
      <c r="B488" t="s">
        <v>8</v>
      </c>
      <c r="C488" s="1">
        <v>43628</v>
      </c>
      <c r="D488">
        <v>2019</v>
      </c>
      <c r="E488">
        <v>6</v>
      </c>
      <c r="F488">
        <v>0</v>
      </c>
      <c r="G488" t="s">
        <v>9</v>
      </c>
    </row>
    <row r="489" spans="1:7" x14ac:dyDescent="0.25">
      <c r="A489" t="s">
        <v>7</v>
      </c>
      <c r="B489" t="s">
        <v>8</v>
      </c>
      <c r="C489" s="1">
        <v>43629</v>
      </c>
      <c r="D489">
        <v>2019</v>
      </c>
      <c r="E489">
        <v>6</v>
      </c>
      <c r="F489">
        <v>0</v>
      </c>
      <c r="G489" t="s">
        <v>9</v>
      </c>
    </row>
    <row r="490" spans="1:7" x14ac:dyDescent="0.25">
      <c r="A490" t="s">
        <v>7</v>
      </c>
      <c r="B490" t="s">
        <v>8</v>
      </c>
      <c r="C490" s="1">
        <v>43639</v>
      </c>
      <c r="D490">
        <v>2019</v>
      </c>
      <c r="E490">
        <v>6</v>
      </c>
      <c r="F490">
        <v>0</v>
      </c>
      <c r="G490" t="s">
        <v>9</v>
      </c>
    </row>
    <row r="491" spans="1:7" x14ac:dyDescent="0.25">
      <c r="A491" t="s">
        <v>7</v>
      </c>
      <c r="B491" t="s">
        <v>8</v>
      </c>
      <c r="C491" s="1">
        <v>43643</v>
      </c>
      <c r="D491">
        <v>2019</v>
      </c>
      <c r="E491">
        <v>6</v>
      </c>
      <c r="F491">
        <v>0.508517051</v>
      </c>
      <c r="G491" t="s">
        <v>9</v>
      </c>
    </row>
    <row r="492" spans="1:7" x14ac:dyDescent="0.25">
      <c r="A492" t="s">
        <v>7</v>
      </c>
      <c r="B492" t="s">
        <v>8</v>
      </c>
      <c r="C492" s="1">
        <v>43645</v>
      </c>
      <c r="D492">
        <v>2019</v>
      </c>
      <c r="E492">
        <v>6</v>
      </c>
      <c r="F492">
        <v>0</v>
      </c>
      <c r="G492" t="s">
        <v>9</v>
      </c>
    </row>
    <row r="493" spans="1:7" x14ac:dyDescent="0.25">
      <c r="A493" t="s">
        <v>7</v>
      </c>
      <c r="B493" t="s">
        <v>8</v>
      </c>
      <c r="C493" s="1">
        <v>43653</v>
      </c>
      <c r="D493">
        <v>2019</v>
      </c>
      <c r="E493">
        <v>7</v>
      </c>
      <c r="F493">
        <v>0</v>
      </c>
      <c r="G493" t="s">
        <v>9</v>
      </c>
    </row>
    <row r="494" spans="1:7" x14ac:dyDescent="0.25">
      <c r="A494" t="s">
        <v>7</v>
      </c>
      <c r="B494" t="s">
        <v>8</v>
      </c>
      <c r="C494" s="1">
        <v>43657</v>
      </c>
      <c r="D494">
        <v>2019</v>
      </c>
      <c r="E494">
        <v>7</v>
      </c>
      <c r="F494">
        <v>7.4471207279999998</v>
      </c>
      <c r="G494" t="s">
        <v>9</v>
      </c>
    </row>
    <row r="495" spans="1:7" x14ac:dyDescent="0.25">
      <c r="A495" t="s">
        <v>7</v>
      </c>
      <c r="B495" t="s">
        <v>8</v>
      </c>
      <c r="C495" s="1">
        <v>43659</v>
      </c>
      <c r="D495">
        <v>2019</v>
      </c>
      <c r="E495">
        <v>7</v>
      </c>
      <c r="F495">
        <v>29.483832230000001</v>
      </c>
      <c r="G495" t="s">
        <v>9</v>
      </c>
    </row>
    <row r="496" spans="1:7" x14ac:dyDescent="0.25">
      <c r="A496" t="s">
        <v>7</v>
      </c>
      <c r="B496" t="s">
        <v>8</v>
      </c>
      <c r="C496" s="1">
        <v>43665</v>
      </c>
      <c r="D496">
        <v>2019</v>
      </c>
      <c r="E496">
        <v>7</v>
      </c>
      <c r="F496">
        <v>23.818337979999999</v>
      </c>
      <c r="G496" t="s">
        <v>9</v>
      </c>
    </row>
    <row r="497" spans="1:7" x14ac:dyDescent="0.25">
      <c r="A497" t="s">
        <v>7</v>
      </c>
      <c r="B497" t="s">
        <v>8</v>
      </c>
      <c r="C497" s="1">
        <v>43674</v>
      </c>
      <c r="D497">
        <v>2019</v>
      </c>
      <c r="E497">
        <v>7</v>
      </c>
      <c r="F497">
        <v>0.47300309600000001</v>
      </c>
      <c r="G497" t="s">
        <v>9</v>
      </c>
    </row>
    <row r="498" spans="1:7" x14ac:dyDescent="0.25">
      <c r="A498" t="s">
        <v>7</v>
      </c>
      <c r="B498" t="s">
        <v>8</v>
      </c>
      <c r="C498" s="1">
        <v>43688</v>
      </c>
      <c r="D498">
        <v>2019</v>
      </c>
      <c r="E498">
        <v>8</v>
      </c>
      <c r="F498">
        <v>0</v>
      </c>
      <c r="G498" t="s">
        <v>9</v>
      </c>
    </row>
    <row r="499" spans="1:7" x14ac:dyDescent="0.25">
      <c r="A499" t="s">
        <v>7</v>
      </c>
      <c r="B499" t="s">
        <v>8</v>
      </c>
      <c r="C499" s="1">
        <v>43695</v>
      </c>
      <c r="D499">
        <v>2019</v>
      </c>
      <c r="E499">
        <v>8</v>
      </c>
      <c r="F499">
        <v>36.656873050000002</v>
      </c>
      <c r="G499" t="s">
        <v>9</v>
      </c>
    </row>
    <row r="500" spans="1:7" x14ac:dyDescent="0.25">
      <c r="A500" t="s">
        <v>7</v>
      </c>
      <c r="B500" t="s">
        <v>8</v>
      </c>
      <c r="C500" s="1">
        <v>43701</v>
      </c>
      <c r="D500">
        <v>2019</v>
      </c>
      <c r="E500">
        <v>8</v>
      </c>
      <c r="F500">
        <v>3.802981E-3</v>
      </c>
      <c r="G500" t="s">
        <v>9</v>
      </c>
    </row>
    <row r="501" spans="1:7" x14ac:dyDescent="0.25">
      <c r="A501" t="s">
        <v>7</v>
      </c>
      <c r="B501" t="s">
        <v>8</v>
      </c>
      <c r="C501" s="1">
        <v>43709</v>
      </c>
      <c r="D501">
        <v>2019</v>
      </c>
      <c r="E501">
        <v>9</v>
      </c>
      <c r="F501">
        <v>3.3903399999999999E-3</v>
      </c>
      <c r="G501" t="s">
        <v>9</v>
      </c>
    </row>
    <row r="502" spans="1:7" x14ac:dyDescent="0.25">
      <c r="A502" t="s">
        <v>7</v>
      </c>
      <c r="B502" t="s">
        <v>8</v>
      </c>
      <c r="C502" s="1">
        <v>43711</v>
      </c>
      <c r="D502">
        <v>2019</v>
      </c>
      <c r="E502">
        <v>9</v>
      </c>
      <c r="F502">
        <v>1.706452334</v>
      </c>
      <c r="G502" t="s">
        <v>9</v>
      </c>
    </row>
    <row r="503" spans="1:7" x14ac:dyDescent="0.25">
      <c r="A503" t="s">
        <v>7</v>
      </c>
      <c r="B503" t="s">
        <v>8</v>
      </c>
      <c r="C503" s="1">
        <v>43720</v>
      </c>
      <c r="D503">
        <v>2019</v>
      </c>
      <c r="E503">
        <v>9</v>
      </c>
      <c r="F503">
        <v>23.052816929999999</v>
      </c>
      <c r="G503" t="s">
        <v>9</v>
      </c>
    </row>
    <row r="504" spans="1:7" x14ac:dyDescent="0.25">
      <c r="A504" t="s">
        <v>7</v>
      </c>
      <c r="B504" t="s">
        <v>8</v>
      </c>
      <c r="C504" s="1">
        <v>43724</v>
      </c>
      <c r="D504">
        <v>2019</v>
      </c>
      <c r="E504">
        <v>9</v>
      </c>
      <c r="F504">
        <v>3.3142758880000001</v>
      </c>
      <c r="G504" t="s">
        <v>9</v>
      </c>
    </row>
    <row r="505" spans="1:7" x14ac:dyDescent="0.25">
      <c r="A505" t="s">
        <v>7</v>
      </c>
      <c r="B505" t="s">
        <v>8</v>
      </c>
      <c r="C505" s="1">
        <v>43736</v>
      </c>
      <c r="D505">
        <v>2019</v>
      </c>
      <c r="E505">
        <v>9</v>
      </c>
      <c r="F505">
        <v>0</v>
      </c>
      <c r="G505" t="s">
        <v>9</v>
      </c>
    </row>
    <row r="506" spans="1:7" x14ac:dyDescent="0.25">
      <c r="A506" t="s">
        <v>7</v>
      </c>
      <c r="B506" t="s">
        <v>8</v>
      </c>
      <c r="C506" s="1">
        <v>43740</v>
      </c>
      <c r="D506">
        <v>2019</v>
      </c>
      <c r="E506">
        <v>10</v>
      </c>
      <c r="F506">
        <v>0.305808943</v>
      </c>
      <c r="G506" t="s">
        <v>9</v>
      </c>
    </row>
    <row r="507" spans="1:7" x14ac:dyDescent="0.25">
      <c r="A507" t="s">
        <v>7</v>
      </c>
      <c r="B507" t="s">
        <v>8</v>
      </c>
      <c r="C507" s="1">
        <v>43744</v>
      </c>
      <c r="D507">
        <v>2019</v>
      </c>
      <c r="E507">
        <v>10</v>
      </c>
      <c r="F507">
        <v>0</v>
      </c>
      <c r="G507" t="s">
        <v>9</v>
      </c>
    </row>
    <row r="508" spans="1:7" x14ac:dyDescent="0.25">
      <c r="A508" t="s">
        <v>7</v>
      </c>
      <c r="B508" t="s">
        <v>8</v>
      </c>
      <c r="C508" s="1">
        <v>43750</v>
      </c>
      <c r="D508">
        <v>2019</v>
      </c>
      <c r="E508">
        <v>10</v>
      </c>
      <c r="F508">
        <v>2.6827013040000001</v>
      </c>
      <c r="G508" t="s">
        <v>9</v>
      </c>
    </row>
    <row r="509" spans="1:7" x14ac:dyDescent="0.25">
      <c r="A509" t="s">
        <v>7</v>
      </c>
      <c r="B509" t="s">
        <v>8</v>
      </c>
      <c r="C509" s="1">
        <v>43755</v>
      </c>
      <c r="D509">
        <v>2019</v>
      </c>
      <c r="E509">
        <v>10</v>
      </c>
      <c r="F509">
        <v>14.11055288</v>
      </c>
      <c r="G509" t="s">
        <v>9</v>
      </c>
    </row>
    <row r="510" spans="1:7" x14ac:dyDescent="0.25">
      <c r="A510" t="s">
        <v>7</v>
      </c>
      <c r="B510" t="s">
        <v>8</v>
      </c>
      <c r="C510" s="1">
        <v>43761</v>
      </c>
      <c r="D510">
        <v>2019</v>
      </c>
      <c r="E510">
        <v>10</v>
      </c>
      <c r="F510">
        <v>3.8972369069999999</v>
      </c>
      <c r="G510" t="s">
        <v>9</v>
      </c>
    </row>
    <row r="511" spans="1:7" x14ac:dyDescent="0.25">
      <c r="A511" t="s">
        <v>7</v>
      </c>
      <c r="B511" t="s">
        <v>8</v>
      </c>
      <c r="C511" s="1">
        <v>43768</v>
      </c>
      <c r="D511">
        <v>2019</v>
      </c>
      <c r="E511">
        <v>10</v>
      </c>
      <c r="F511">
        <v>73.362299109999995</v>
      </c>
      <c r="G511" t="s">
        <v>9</v>
      </c>
    </row>
    <row r="512" spans="1:7" x14ac:dyDescent="0.25">
      <c r="A512" t="s">
        <v>7</v>
      </c>
      <c r="B512" t="s">
        <v>8</v>
      </c>
      <c r="C512" s="1">
        <v>43776</v>
      </c>
      <c r="D512">
        <v>2019</v>
      </c>
      <c r="E512">
        <v>11</v>
      </c>
      <c r="F512">
        <v>0</v>
      </c>
      <c r="G512" t="s">
        <v>9</v>
      </c>
    </row>
    <row r="513" spans="1:7" x14ac:dyDescent="0.25">
      <c r="A513" t="s">
        <v>7</v>
      </c>
      <c r="B513" t="s">
        <v>8</v>
      </c>
      <c r="C513" s="1">
        <v>43777</v>
      </c>
      <c r="D513">
        <v>2019</v>
      </c>
      <c r="E513">
        <v>11</v>
      </c>
      <c r="F513">
        <v>0</v>
      </c>
      <c r="G513" t="s">
        <v>9</v>
      </c>
    </row>
    <row r="514" spans="1:7" x14ac:dyDescent="0.25">
      <c r="A514" t="s">
        <v>7</v>
      </c>
      <c r="B514" t="s">
        <v>8</v>
      </c>
      <c r="C514" s="1">
        <v>43781</v>
      </c>
      <c r="D514">
        <v>2019</v>
      </c>
      <c r="E514">
        <v>11</v>
      </c>
      <c r="F514">
        <v>0</v>
      </c>
      <c r="G514" t="s">
        <v>9</v>
      </c>
    </row>
    <row r="515" spans="1:7" x14ac:dyDescent="0.25">
      <c r="A515" t="s">
        <v>7</v>
      </c>
      <c r="B515" t="s">
        <v>8</v>
      </c>
      <c r="C515" s="1">
        <v>43782</v>
      </c>
      <c r="D515">
        <v>2019</v>
      </c>
      <c r="E515">
        <v>11</v>
      </c>
      <c r="F515">
        <v>0</v>
      </c>
      <c r="G515" t="s">
        <v>9</v>
      </c>
    </row>
    <row r="516" spans="1:7" x14ac:dyDescent="0.25">
      <c r="A516" t="s">
        <v>7</v>
      </c>
      <c r="B516" t="s">
        <v>8</v>
      </c>
      <c r="C516" s="1">
        <v>43783</v>
      </c>
      <c r="D516">
        <v>2019</v>
      </c>
      <c r="E516">
        <v>11</v>
      </c>
      <c r="F516">
        <v>5.1827561759999998</v>
      </c>
      <c r="G516" t="s">
        <v>9</v>
      </c>
    </row>
    <row r="517" spans="1:7" x14ac:dyDescent="0.25">
      <c r="A517" t="s">
        <v>7</v>
      </c>
      <c r="B517" t="s">
        <v>8</v>
      </c>
      <c r="C517" s="1">
        <v>43785</v>
      </c>
      <c r="D517">
        <v>2019</v>
      </c>
      <c r="E517">
        <v>11</v>
      </c>
      <c r="F517">
        <v>7.3298962809999999</v>
      </c>
      <c r="G517" t="s">
        <v>9</v>
      </c>
    </row>
    <row r="518" spans="1:7" x14ac:dyDescent="0.25">
      <c r="A518" t="s">
        <v>7</v>
      </c>
      <c r="B518" t="s">
        <v>8</v>
      </c>
      <c r="C518" s="1">
        <v>43790</v>
      </c>
      <c r="D518">
        <v>2019</v>
      </c>
      <c r="E518">
        <v>11</v>
      </c>
      <c r="F518">
        <v>6.5035311179999997</v>
      </c>
      <c r="G518" t="s">
        <v>9</v>
      </c>
    </row>
    <row r="519" spans="1:7" x14ac:dyDescent="0.25">
      <c r="A519" t="s">
        <v>7</v>
      </c>
      <c r="B519" t="s">
        <v>8</v>
      </c>
      <c r="C519" s="1">
        <v>43792</v>
      </c>
      <c r="D519">
        <v>2019</v>
      </c>
      <c r="E519">
        <v>11</v>
      </c>
      <c r="F519">
        <v>27.69630591</v>
      </c>
      <c r="G519" t="s">
        <v>9</v>
      </c>
    </row>
    <row r="520" spans="1:7" x14ac:dyDescent="0.25">
      <c r="A520" t="s">
        <v>7</v>
      </c>
      <c r="B520" t="s">
        <v>8</v>
      </c>
      <c r="C520" s="1">
        <v>43797</v>
      </c>
      <c r="D520">
        <v>2019</v>
      </c>
      <c r="E520">
        <v>11</v>
      </c>
      <c r="F520">
        <v>45.882490619999999</v>
      </c>
      <c r="G520" t="s">
        <v>9</v>
      </c>
    </row>
    <row r="521" spans="1:7" x14ac:dyDescent="0.25">
      <c r="A521" t="s">
        <v>7</v>
      </c>
      <c r="B521" t="s">
        <v>8</v>
      </c>
      <c r="C521" s="1">
        <v>43805</v>
      </c>
      <c r="D521">
        <v>2019</v>
      </c>
      <c r="E521">
        <v>12</v>
      </c>
      <c r="F521">
        <v>0</v>
      </c>
      <c r="G521" t="s">
        <v>9</v>
      </c>
    </row>
    <row r="522" spans="1:7" x14ac:dyDescent="0.25">
      <c r="A522" t="s">
        <v>7</v>
      </c>
      <c r="B522" t="s">
        <v>8</v>
      </c>
      <c r="C522" s="1">
        <v>43810</v>
      </c>
      <c r="D522">
        <v>2019</v>
      </c>
      <c r="E522">
        <v>12</v>
      </c>
      <c r="F522">
        <v>0</v>
      </c>
      <c r="G522" t="s">
        <v>9</v>
      </c>
    </row>
    <row r="523" spans="1:7" x14ac:dyDescent="0.25">
      <c r="A523" t="s">
        <v>7</v>
      </c>
      <c r="B523" t="s">
        <v>8</v>
      </c>
      <c r="C523" s="1">
        <v>43811</v>
      </c>
      <c r="D523">
        <v>2019</v>
      </c>
      <c r="E523">
        <v>12</v>
      </c>
      <c r="F523">
        <v>0</v>
      </c>
      <c r="G523" t="s">
        <v>9</v>
      </c>
    </row>
    <row r="524" spans="1:7" x14ac:dyDescent="0.25">
      <c r="A524" t="s">
        <v>7</v>
      </c>
      <c r="B524" t="s">
        <v>8</v>
      </c>
      <c r="C524" s="1">
        <v>43812</v>
      </c>
      <c r="D524">
        <v>2019</v>
      </c>
      <c r="E524">
        <v>12</v>
      </c>
      <c r="F524">
        <v>1.471725715</v>
      </c>
      <c r="G524" t="s">
        <v>9</v>
      </c>
    </row>
    <row r="525" spans="1:7" x14ac:dyDescent="0.25">
      <c r="A525" t="s">
        <v>7</v>
      </c>
      <c r="B525" t="s">
        <v>8</v>
      </c>
      <c r="C525" s="1">
        <v>43816</v>
      </c>
      <c r="D525">
        <v>2019</v>
      </c>
      <c r="E525">
        <v>12</v>
      </c>
      <c r="F525">
        <v>0.31280256200000001</v>
      </c>
      <c r="G525" t="s">
        <v>9</v>
      </c>
    </row>
    <row r="526" spans="1:7" x14ac:dyDescent="0.25">
      <c r="A526" t="s">
        <v>7</v>
      </c>
      <c r="B526" t="s">
        <v>8</v>
      </c>
      <c r="C526" s="1">
        <v>43826</v>
      </c>
      <c r="D526">
        <v>2019</v>
      </c>
      <c r="E526">
        <v>12</v>
      </c>
      <c r="F526">
        <v>0</v>
      </c>
      <c r="G526" t="s">
        <v>9</v>
      </c>
    </row>
    <row r="527" spans="1:7" x14ac:dyDescent="0.25">
      <c r="A527" t="s">
        <v>7</v>
      </c>
      <c r="B527" t="s">
        <v>8</v>
      </c>
      <c r="C527" s="1">
        <v>43830</v>
      </c>
      <c r="D527">
        <v>2019</v>
      </c>
      <c r="E527">
        <v>12</v>
      </c>
      <c r="F527">
        <v>25.29088101</v>
      </c>
      <c r="G527" t="s">
        <v>9</v>
      </c>
    </row>
    <row r="528" spans="1:7" x14ac:dyDescent="0.25">
      <c r="A528" t="s">
        <v>7</v>
      </c>
      <c r="B528" t="s">
        <v>8</v>
      </c>
      <c r="C528" s="1">
        <v>43578</v>
      </c>
      <c r="D528">
        <v>2019</v>
      </c>
      <c r="E528">
        <v>4</v>
      </c>
      <c r="F528">
        <v>0</v>
      </c>
      <c r="G528" t="s">
        <v>9</v>
      </c>
    </row>
    <row r="529" spans="1:7" x14ac:dyDescent="0.25">
      <c r="A529" t="s">
        <v>7</v>
      </c>
      <c r="B529" t="s">
        <v>8</v>
      </c>
      <c r="C529" s="1">
        <v>43772</v>
      </c>
      <c r="D529">
        <v>2019</v>
      </c>
      <c r="E529">
        <v>11</v>
      </c>
      <c r="F529">
        <v>0.84708819999999996</v>
      </c>
      <c r="G529" t="s">
        <v>9</v>
      </c>
    </row>
    <row r="530" spans="1:7" x14ac:dyDescent="0.25">
      <c r="A530" t="s">
        <v>7</v>
      </c>
      <c r="B530" t="s">
        <v>10</v>
      </c>
      <c r="C530" s="1">
        <v>43466</v>
      </c>
      <c r="D530">
        <v>2019</v>
      </c>
      <c r="E530">
        <v>1</v>
      </c>
      <c r="F530">
        <v>0</v>
      </c>
      <c r="G530" t="s">
        <v>9</v>
      </c>
    </row>
    <row r="531" spans="1:7" x14ac:dyDescent="0.25">
      <c r="A531" t="s">
        <v>7</v>
      </c>
      <c r="B531" t="s">
        <v>10</v>
      </c>
      <c r="C531" s="1">
        <v>43483</v>
      </c>
      <c r="D531">
        <v>2019</v>
      </c>
      <c r="E531">
        <v>1</v>
      </c>
      <c r="F531">
        <v>0</v>
      </c>
      <c r="G531" t="s">
        <v>9</v>
      </c>
    </row>
    <row r="532" spans="1:7" x14ac:dyDescent="0.25">
      <c r="A532" t="s">
        <v>7</v>
      </c>
      <c r="B532" t="s">
        <v>10</v>
      </c>
      <c r="C532" s="1">
        <v>43492</v>
      </c>
      <c r="D532">
        <v>2019</v>
      </c>
      <c r="E532">
        <v>1</v>
      </c>
      <c r="F532">
        <v>0</v>
      </c>
      <c r="G532" t="s">
        <v>9</v>
      </c>
    </row>
    <row r="533" spans="1:7" x14ac:dyDescent="0.25">
      <c r="A533" t="s">
        <v>7</v>
      </c>
      <c r="B533" t="s">
        <v>10</v>
      </c>
      <c r="C533" s="1">
        <v>43494</v>
      </c>
      <c r="D533">
        <v>2019</v>
      </c>
      <c r="E533">
        <v>1</v>
      </c>
      <c r="F533">
        <v>0</v>
      </c>
      <c r="G533" t="s">
        <v>9</v>
      </c>
    </row>
    <row r="534" spans="1:7" x14ac:dyDescent="0.25">
      <c r="A534" t="s">
        <v>7</v>
      </c>
      <c r="B534" t="s">
        <v>10</v>
      </c>
      <c r="C534" s="1">
        <v>43510</v>
      </c>
      <c r="D534">
        <v>2019</v>
      </c>
      <c r="E534">
        <v>2</v>
      </c>
      <c r="F534">
        <v>0</v>
      </c>
      <c r="G534" t="s">
        <v>9</v>
      </c>
    </row>
    <row r="535" spans="1:7" x14ac:dyDescent="0.25">
      <c r="A535" t="s">
        <v>7</v>
      </c>
      <c r="B535" t="s">
        <v>10</v>
      </c>
      <c r="C535" s="1">
        <v>43511</v>
      </c>
      <c r="D535">
        <v>2019</v>
      </c>
      <c r="E535">
        <v>2</v>
      </c>
      <c r="F535">
        <v>0</v>
      </c>
      <c r="G535" t="s">
        <v>9</v>
      </c>
    </row>
    <row r="536" spans="1:7" x14ac:dyDescent="0.25">
      <c r="A536" t="s">
        <v>7</v>
      </c>
      <c r="B536" t="s">
        <v>10</v>
      </c>
      <c r="C536" s="1">
        <v>43517</v>
      </c>
      <c r="D536">
        <v>2019</v>
      </c>
      <c r="E536">
        <v>2</v>
      </c>
      <c r="F536">
        <v>0</v>
      </c>
      <c r="G536" t="s">
        <v>9</v>
      </c>
    </row>
    <row r="537" spans="1:7" x14ac:dyDescent="0.25">
      <c r="A537" t="s">
        <v>7</v>
      </c>
      <c r="B537" t="s">
        <v>10</v>
      </c>
      <c r="C537" s="1">
        <v>43520</v>
      </c>
      <c r="D537">
        <v>2019</v>
      </c>
      <c r="E537">
        <v>2</v>
      </c>
      <c r="F537">
        <v>0</v>
      </c>
      <c r="G537" t="s">
        <v>9</v>
      </c>
    </row>
    <row r="538" spans="1:7" x14ac:dyDescent="0.25">
      <c r="A538" t="s">
        <v>7</v>
      </c>
      <c r="B538" t="s">
        <v>10</v>
      </c>
      <c r="C538" s="1">
        <v>43529</v>
      </c>
      <c r="D538">
        <v>2019</v>
      </c>
      <c r="E538">
        <v>3</v>
      </c>
      <c r="F538">
        <v>0</v>
      </c>
      <c r="G538" t="s">
        <v>9</v>
      </c>
    </row>
    <row r="539" spans="1:7" x14ac:dyDescent="0.25">
      <c r="A539" t="s">
        <v>7</v>
      </c>
      <c r="B539" t="s">
        <v>10</v>
      </c>
      <c r="C539" s="1">
        <v>43534</v>
      </c>
      <c r="D539">
        <v>2019</v>
      </c>
      <c r="E539">
        <v>3</v>
      </c>
      <c r="F539">
        <v>0</v>
      </c>
      <c r="G539" t="s">
        <v>9</v>
      </c>
    </row>
    <row r="540" spans="1:7" x14ac:dyDescent="0.25">
      <c r="A540" t="s">
        <v>7</v>
      </c>
      <c r="B540" t="s">
        <v>10</v>
      </c>
      <c r="C540" s="1">
        <v>43543</v>
      </c>
      <c r="D540">
        <v>2019</v>
      </c>
      <c r="E540">
        <v>3</v>
      </c>
      <c r="F540">
        <v>0</v>
      </c>
      <c r="G540" t="s">
        <v>9</v>
      </c>
    </row>
    <row r="541" spans="1:7" x14ac:dyDescent="0.25">
      <c r="A541" t="s">
        <v>7</v>
      </c>
      <c r="B541" t="s">
        <v>10</v>
      </c>
      <c r="C541" s="1">
        <v>43559</v>
      </c>
      <c r="D541">
        <v>2019</v>
      </c>
      <c r="E541">
        <v>4</v>
      </c>
      <c r="F541">
        <v>0</v>
      </c>
      <c r="G541" t="s">
        <v>9</v>
      </c>
    </row>
    <row r="542" spans="1:7" x14ac:dyDescent="0.25">
      <c r="A542" t="s">
        <v>7</v>
      </c>
      <c r="B542" t="s">
        <v>10</v>
      </c>
      <c r="C542" s="1">
        <v>43565</v>
      </c>
      <c r="D542">
        <v>2019</v>
      </c>
      <c r="E542">
        <v>4</v>
      </c>
      <c r="F542">
        <v>0</v>
      </c>
      <c r="G542" t="s">
        <v>9</v>
      </c>
    </row>
    <row r="543" spans="1:7" x14ac:dyDescent="0.25">
      <c r="A543" t="s">
        <v>7</v>
      </c>
      <c r="B543" t="s">
        <v>10</v>
      </c>
      <c r="C543" s="1">
        <v>43570</v>
      </c>
      <c r="D543">
        <v>2019</v>
      </c>
      <c r="E543">
        <v>4</v>
      </c>
      <c r="F543">
        <v>0</v>
      </c>
      <c r="G543" t="s">
        <v>9</v>
      </c>
    </row>
    <row r="544" spans="1:7" x14ac:dyDescent="0.25">
      <c r="A544" t="s">
        <v>7</v>
      </c>
      <c r="B544" t="s">
        <v>10</v>
      </c>
      <c r="C544" s="1">
        <v>43585</v>
      </c>
      <c r="D544">
        <v>2019</v>
      </c>
      <c r="E544">
        <v>4</v>
      </c>
      <c r="F544">
        <v>1.5759440659999999</v>
      </c>
      <c r="G544" t="s">
        <v>9</v>
      </c>
    </row>
    <row r="545" spans="1:7" x14ac:dyDescent="0.25">
      <c r="A545" t="s">
        <v>7</v>
      </c>
      <c r="B545" t="s">
        <v>10</v>
      </c>
      <c r="C545" s="1">
        <v>43596</v>
      </c>
      <c r="D545">
        <v>2019</v>
      </c>
      <c r="E545">
        <v>5</v>
      </c>
      <c r="F545">
        <v>0</v>
      </c>
      <c r="G545" t="s">
        <v>9</v>
      </c>
    </row>
    <row r="546" spans="1:7" x14ac:dyDescent="0.25">
      <c r="A546" t="s">
        <v>7</v>
      </c>
      <c r="B546" t="s">
        <v>10</v>
      </c>
      <c r="C546" s="1">
        <v>43597</v>
      </c>
      <c r="D546">
        <v>2019</v>
      </c>
      <c r="E546">
        <v>5</v>
      </c>
      <c r="F546">
        <v>1.692680717</v>
      </c>
      <c r="G546" t="s">
        <v>9</v>
      </c>
    </row>
    <row r="547" spans="1:7" x14ac:dyDescent="0.25">
      <c r="A547" t="s">
        <v>7</v>
      </c>
      <c r="B547" t="s">
        <v>10</v>
      </c>
      <c r="C547" s="1">
        <v>43598</v>
      </c>
      <c r="D547">
        <v>2019</v>
      </c>
      <c r="E547">
        <v>5</v>
      </c>
      <c r="F547">
        <v>3.6188344959999998</v>
      </c>
      <c r="G547" t="s">
        <v>9</v>
      </c>
    </row>
    <row r="548" spans="1:7" x14ac:dyDescent="0.25">
      <c r="A548" t="s">
        <v>7</v>
      </c>
      <c r="B548" t="s">
        <v>10</v>
      </c>
      <c r="C548" s="1">
        <v>43603</v>
      </c>
      <c r="D548">
        <v>2019</v>
      </c>
      <c r="E548">
        <v>5</v>
      </c>
      <c r="F548">
        <v>8.4050350189999996</v>
      </c>
      <c r="G548" t="s">
        <v>9</v>
      </c>
    </row>
    <row r="549" spans="1:7" x14ac:dyDescent="0.25">
      <c r="A549" t="s">
        <v>7</v>
      </c>
      <c r="B549" t="s">
        <v>10</v>
      </c>
      <c r="C549" s="1">
        <v>43604</v>
      </c>
      <c r="D549">
        <v>2019</v>
      </c>
      <c r="E549">
        <v>5</v>
      </c>
      <c r="F549">
        <v>0</v>
      </c>
      <c r="G549" t="s">
        <v>9</v>
      </c>
    </row>
    <row r="550" spans="1:7" x14ac:dyDescent="0.25">
      <c r="A550" t="s">
        <v>7</v>
      </c>
      <c r="B550" t="s">
        <v>10</v>
      </c>
      <c r="C550" s="1">
        <v>43605</v>
      </c>
      <c r="D550">
        <v>2019</v>
      </c>
      <c r="E550">
        <v>5</v>
      </c>
      <c r="F550">
        <v>4.7862005229999998</v>
      </c>
      <c r="G550" t="s">
        <v>9</v>
      </c>
    </row>
    <row r="551" spans="1:7" x14ac:dyDescent="0.25">
      <c r="A551" t="s">
        <v>7</v>
      </c>
      <c r="B551" t="s">
        <v>10</v>
      </c>
      <c r="C551" s="1">
        <v>43607</v>
      </c>
      <c r="D551">
        <v>2019</v>
      </c>
      <c r="E551">
        <v>5</v>
      </c>
      <c r="F551">
        <v>0</v>
      </c>
      <c r="G551" t="s">
        <v>9</v>
      </c>
    </row>
    <row r="552" spans="1:7" x14ac:dyDescent="0.25">
      <c r="A552" t="s">
        <v>7</v>
      </c>
      <c r="B552" t="s">
        <v>10</v>
      </c>
      <c r="C552" s="1">
        <v>43610</v>
      </c>
      <c r="D552">
        <v>2019</v>
      </c>
      <c r="E552">
        <v>5</v>
      </c>
      <c r="F552">
        <v>0</v>
      </c>
      <c r="G552" t="s">
        <v>9</v>
      </c>
    </row>
    <row r="553" spans="1:7" x14ac:dyDescent="0.25">
      <c r="A553" t="s">
        <v>7</v>
      </c>
      <c r="B553" t="s">
        <v>10</v>
      </c>
      <c r="C553" s="1">
        <v>43614</v>
      </c>
      <c r="D553">
        <v>2019</v>
      </c>
      <c r="E553">
        <v>5</v>
      </c>
      <c r="F553">
        <v>0.700419605</v>
      </c>
      <c r="G553" t="s">
        <v>9</v>
      </c>
    </row>
    <row r="554" spans="1:7" x14ac:dyDescent="0.25">
      <c r="A554" t="s">
        <v>7</v>
      </c>
      <c r="B554" t="s">
        <v>10</v>
      </c>
      <c r="C554" s="1">
        <v>43622</v>
      </c>
      <c r="D554">
        <v>2019</v>
      </c>
      <c r="E554">
        <v>6</v>
      </c>
      <c r="F554">
        <v>0</v>
      </c>
      <c r="G554" t="s">
        <v>9</v>
      </c>
    </row>
    <row r="555" spans="1:7" x14ac:dyDescent="0.25">
      <c r="A555" t="s">
        <v>7</v>
      </c>
      <c r="B555" t="s">
        <v>10</v>
      </c>
      <c r="C555" s="1">
        <v>43630</v>
      </c>
      <c r="D555">
        <v>2019</v>
      </c>
      <c r="E555">
        <v>6</v>
      </c>
      <c r="F555">
        <v>0</v>
      </c>
      <c r="G555" t="s">
        <v>9</v>
      </c>
    </row>
    <row r="556" spans="1:7" x14ac:dyDescent="0.25">
      <c r="A556" t="s">
        <v>7</v>
      </c>
      <c r="B556" t="s">
        <v>10</v>
      </c>
      <c r="C556" s="1">
        <v>43631</v>
      </c>
      <c r="D556">
        <v>2019</v>
      </c>
      <c r="E556">
        <v>6</v>
      </c>
      <c r="F556">
        <v>0</v>
      </c>
      <c r="G556" t="s">
        <v>9</v>
      </c>
    </row>
    <row r="557" spans="1:7" x14ac:dyDescent="0.25">
      <c r="A557" t="s">
        <v>7</v>
      </c>
      <c r="B557" t="s">
        <v>10</v>
      </c>
      <c r="C557" s="1">
        <v>43635</v>
      </c>
      <c r="D557">
        <v>2019</v>
      </c>
      <c r="E557">
        <v>6</v>
      </c>
      <c r="F557">
        <v>0</v>
      </c>
      <c r="G557" t="s">
        <v>9</v>
      </c>
    </row>
    <row r="558" spans="1:7" x14ac:dyDescent="0.25">
      <c r="A558" t="s">
        <v>7</v>
      </c>
      <c r="B558" t="s">
        <v>10</v>
      </c>
      <c r="C558" s="1">
        <v>43645</v>
      </c>
      <c r="D558">
        <v>2019</v>
      </c>
      <c r="E558">
        <v>6</v>
      </c>
      <c r="F558">
        <v>0</v>
      </c>
      <c r="G558" t="s">
        <v>9</v>
      </c>
    </row>
    <row r="559" spans="1:7" x14ac:dyDescent="0.25">
      <c r="A559" t="s">
        <v>7</v>
      </c>
      <c r="B559" t="s">
        <v>10</v>
      </c>
      <c r="C559" s="1">
        <v>43646</v>
      </c>
      <c r="D559">
        <v>2019</v>
      </c>
      <c r="E559">
        <v>6</v>
      </c>
      <c r="F559">
        <v>0</v>
      </c>
      <c r="G559" t="s">
        <v>9</v>
      </c>
    </row>
    <row r="560" spans="1:7" x14ac:dyDescent="0.25">
      <c r="A560" t="s">
        <v>7</v>
      </c>
      <c r="B560" t="s">
        <v>10</v>
      </c>
      <c r="C560" s="1">
        <v>43649</v>
      </c>
      <c r="D560">
        <v>2019</v>
      </c>
      <c r="E560">
        <v>7</v>
      </c>
      <c r="F560">
        <v>7.2132329940000002</v>
      </c>
      <c r="G560" t="s">
        <v>9</v>
      </c>
    </row>
    <row r="561" spans="1:7" x14ac:dyDescent="0.25">
      <c r="A561" t="s">
        <v>7</v>
      </c>
      <c r="B561" t="s">
        <v>10</v>
      </c>
      <c r="C561" s="1">
        <v>43653</v>
      </c>
      <c r="D561">
        <v>2019</v>
      </c>
      <c r="E561">
        <v>7</v>
      </c>
      <c r="F561">
        <v>1.470197916</v>
      </c>
      <c r="G561" t="s">
        <v>9</v>
      </c>
    </row>
    <row r="562" spans="1:7" x14ac:dyDescent="0.25">
      <c r="A562" t="s">
        <v>7</v>
      </c>
      <c r="B562" t="s">
        <v>10</v>
      </c>
      <c r="C562" s="1">
        <v>43657</v>
      </c>
      <c r="D562">
        <v>2019</v>
      </c>
      <c r="E562">
        <v>7</v>
      </c>
      <c r="F562">
        <v>13.96380806</v>
      </c>
      <c r="G562" t="s">
        <v>9</v>
      </c>
    </row>
    <row r="563" spans="1:7" x14ac:dyDescent="0.25">
      <c r="A563" t="s">
        <v>7</v>
      </c>
      <c r="B563" t="s">
        <v>10</v>
      </c>
      <c r="C563" s="1">
        <v>43658</v>
      </c>
      <c r="D563">
        <v>2019</v>
      </c>
      <c r="E563">
        <v>7</v>
      </c>
      <c r="F563">
        <v>14.74236679</v>
      </c>
      <c r="G563" t="s">
        <v>9</v>
      </c>
    </row>
    <row r="564" spans="1:7" x14ac:dyDescent="0.25">
      <c r="A564" t="s">
        <v>7</v>
      </c>
      <c r="B564" t="s">
        <v>10</v>
      </c>
      <c r="C564" s="1">
        <v>43661</v>
      </c>
      <c r="D564">
        <v>2019</v>
      </c>
      <c r="E564">
        <v>7</v>
      </c>
      <c r="F564">
        <v>0.933892787</v>
      </c>
      <c r="G564" t="s">
        <v>9</v>
      </c>
    </row>
    <row r="565" spans="1:7" x14ac:dyDescent="0.25">
      <c r="A565" t="s">
        <v>7</v>
      </c>
      <c r="B565" t="s">
        <v>10</v>
      </c>
      <c r="C565" s="1">
        <v>43662</v>
      </c>
      <c r="D565">
        <v>2019</v>
      </c>
      <c r="E565">
        <v>7</v>
      </c>
      <c r="F565">
        <v>2.9037592409999999</v>
      </c>
      <c r="G565" t="s">
        <v>9</v>
      </c>
    </row>
    <row r="566" spans="1:7" x14ac:dyDescent="0.25">
      <c r="A566" t="s">
        <v>7</v>
      </c>
      <c r="B566" t="s">
        <v>10</v>
      </c>
      <c r="C566" s="1">
        <v>43672</v>
      </c>
      <c r="D566">
        <v>2019</v>
      </c>
      <c r="E566">
        <v>7</v>
      </c>
      <c r="F566">
        <v>33.61050797</v>
      </c>
      <c r="G566" t="s">
        <v>9</v>
      </c>
    </row>
    <row r="567" spans="1:7" x14ac:dyDescent="0.25">
      <c r="A567" t="s">
        <v>7</v>
      </c>
      <c r="B567" t="s">
        <v>10</v>
      </c>
      <c r="C567" s="1">
        <v>43681</v>
      </c>
      <c r="D567">
        <v>2019</v>
      </c>
      <c r="E567">
        <v>8</v>
      </c>
      <c r="F567">
        <v>1.5175757409999999</v>
      </c>
      <c r="G567" t="s">
        <v>9</v>
      </c>
    </row>
    <row r="568" spans="1:7" x14ac:dyDescent="0.25">
      <c r="A568" t="s">
        <v>7</v>
      </c>
      <c r="B568" t="s">
        <v>10</v>
      </c>
      <c r="C568" s="1">
        <v>43693</v>
      </c>
      <c r="D568">
        <v>2019</v>
      </c>
      <c r="E568">
        <v>8</v>
      </c>
      <c r="F568">
        <v>13.435524940000001</v>
      </c>
      <c r="G568" t="s">
        <v>9</v>
      </c>
    </row>
    <row r="569" spans="1:7" x14ac:dyDescent="0.25">
      <c r="A569" t="s">
        <v>7</v>
      </c>
      <c r="B569" t="s">
        <v>10</v>
      </c>
      <c r="C569" s="1">
        <v>43700</v>
      </c>
      <c r="D569">
        <v>2019</v>
      </c>
      <c r="E569">
        <v>8</v>
      </c>
      <c r="F569">
        <v>0.74040770499999997</v>
      </c>
      <c r="G569" t="s">
        <v>9</v>
      </c>
    </row>
    <row r="570" spans="1:7" x14ac:dyDescent="0.25">
      <c r="A570" t="s">
        <v>7</v>
      </c>
      <c r="B570" t="s">
        <v>10</v>
      </c>
      <c r="C570" s="1">
        <v>43708</v>
      </c>
      <c r="D570">
        <v>2019</v>
      </c>
      <c r="E570">
        <v>8</v>
      </c>
      <c r="F570">
        <v>0</v>
      </c>
      <c r="G570" t="s">
        <v>9</v>
      </c>
    </row>
    <row r="571" spans="1:7" x14ac:dyDescent="0.25">
      <c r="A571" t="s">
        <v>7</v>
      </c>
      <c r="B571" t="s">
        <v>10</v>
      </c>
      <c r="C571" s="1">
        <v>43712</v>
      </c>
      <c r="D571">
        <v>2019</v>
      </c>
      <c r="E571">
        <v>9</v>
      </c>
      <c r="F571">
        <v>6.3600015640000001</v>
      </c>
      <c r="G571" t="s">
        <v>9</v>
      </c>
    </row>
    <row r="572" spans="1:7" x14ac:dyDescent="0.25">
      <c r="A572" t="s">
        <v>7</v>
      </c>
      <c r="B572" t="s">
        <v>10</v>
      </c>
      <c r="C572" s="1">
        <v>43716</v>
      </c>
      <c r="D572">
        <v>2019</v>
      </c>
      <c r="E572">
        <v>9</v>
      </c>
      <c r="F572">
        <v>11.442418099999999</v>
      </c>
      <c r="G572" t="s">
        <v>9</v>
      </c>
    </row>
    <row r="573" spans="1:7" x14ac:dyDescent="0.25">
      <c r="A573" t="s">
        <v>7</v>
      </c>
      <c r="B573" t="s">
        <v>10</v>
      </c>
      <c r="C573" s="1">
        <v>43717</v>
      </c>
      <c r="D573">
        <v>2019</v>
      </c>
      <c r="E573">
        <v>9</v>
      </c>
      <c r="F573">
        <v>4.9819493289999999</v>
      </c>
      <c r="G573" t="s">
        <v>9</v>
      </c>
    </row>
    <row r="574" spans="1:7" x14ac:dyDescent="0.25">
      <c r="A574" t="s">
        <v>7</v>
      </c>
      <c r="B574" t="s">
        <v>10</v>
      </c>
      <c r="C574" s="1">
        <v>43721</v>
      </c>
      <c r="D574">
        <v>2019</v>
      </c>
      <c r="E574">
        <v>9</v>
      </c>
      <c r="F574">
        <v>7.7908806799999999</v>
      </c>
      <c r="G574" t="s">
        <v>9</v>
      </c>
    </row>
    <row r="575" spans="1:7" x14ac:dyDescent="0.25">
      <c r="A575" t="s">
        <v>7</v>
      </c>
      <c r="B575" t="s">
        <v>10</v>
      </c>
      <c r="C575" s="1">
        <v>43726</v>
      </c>
      <c r="D575">
        <v>2019</v>
      </c>
      <c r="E575">
        <v>9</v>
      </c>
      <c r="F575">
        <v>3.2159824370000001</v>
      </c>
      <c r="G575" t="s">
        <v>9</v>
      </c>
    </row>
    <row r="576" spans="1:7" x14ac:dyDescent="0.25">
      <c r="A576" t="s">
        <v>7</v>
      </c>
      <c r="B576" t="s">
        <v>10</v>
      </c>
      <c r="C576" s="1">
        <v>43733</v>
      </c>
      <c r="D576">
        <v>2019</v>
      </c>
      <c r="E576">
        <v>9</v>
      </c>
      <c r="F576">
        <v>15.124756809999999</v>
      </c>
      <c r="G576" t="s">
        <v>9</v>
      </c>
    </row>
    <row r="577" spans="1:7" x14ac:dyDescent="0.25">
      <c r="A577" t="s">
        <v>7</v>
      </c>
      <c r="B577" t="s">
        <v>10</v>
      </c>
      <c r="C577" s="1">
        <v>43735</v>
      </c>
      <c r="D577">
        <v>2019</v>
      </c>
      <c r="E577">
        <v>9</v>
      </c>
      <c r="F577">
        <v>16.791709900000001</v>
      </c>
      <c r="G577" t="s">
        <v>9</v>
      </c>
    </row>
    <row r="578" spans="1:7" x14ac:dyDescent="0.25">
      <c r="A578" t="s">
        <v>7</v>
      </c>
      <c r="B578" t="s">
        <v>10</v>
      </c>
      <c r="C578" s="1">
        <v>43736</v>
      </c>
      <c r="D578">
        <v>2019</v>
      </c>
      <c r="E578">
        <v>9</v>
      </c>
      <c r="F578">
        <v>8.8540773389999998</v>
      </c>
      <c r="G578" t="s">
        <v>9</v>
      </c>
    </row>
    <row r="579" spans="1:7" x14ac:dyDescent="0.25">
      <c r="A579" t="s">
        <v>7</v>
      </c>
      <c r="B579" t="s">
        <v>10</v>
      </c>
      <c r="C579" s="1">
        <v>43740</v>
      </c>
      <c r="D579">
        <v>2019</v>
      </c>
      <c r="E579">
        <v>10</v>
      </c>
      <c r="F579">
        <v>0</v>
      </c>
      <c r="G579" t="s">
        <v>9</v>
      </c>
    </row>
    <row r="580" spans="1:7" x14ac:dyDescent="0.25">
      <c r="A580" t="s">
        <v>7</v>
      </c>
      <c r="B580" t="s">
        <v>10</v>
      </c>
      <c r="C580" s="1">
        <v>43746</v>
      </c>
      <c r="D580">
        <v>2019</v>
      </c>
      <c r="E580">
        <v>10</v>
      </c>
      <c r="F580">
        <v>0.69358694600000004</v>
      </c>
      <c r="G580" t="s">
        <v>9</v>
      </c>
    </row>
    <row r="581" spans="1:7" x14ac:dyDescent="0.25">
      <c r="A581" t="s">
        <v>7</v>
      </c>
      <c r="B581" t="s">
        <v>10</v>
      </c>
      <c r="C581" s="1">
        <v>43750</v>
      </c>
      <c r="D581">
        <v>2019</v>
      </c>
      <c r="E581">
        <v>10</v>
      </c>
      <c r="F581">
        <v>2.1562106609999998</v>
      </c>
      <c r="G581" t="s">
        <v>9</v>
      </c>
    </row>
    <row r="582" spans="1:7" x14ac:dyDescent="0.25">
      <c r="A582" t="s">
        <v>7</v>
      </c>
      <c r="B582" t="s">
        <v>10</v>
      </c>
      <c r="C582" s="1">
        <v>43759</v>
      </c>
      <c r="D582">
        <v>2019</v>
      </c>
      <c r="E582">
        <v>10</v>
      </c>
      <c r="F582">
        <v>0</v>
      </c>
      <c r="G582" t="s">
        <v>9</v>
      </c>
    </row>
    <row r="583" spans="1:7" x14ac:dyDescent="0.25">
      <c r="A583" t="s">
        <v>7</v>
      </c>
      <c r="B583" t="s">
        <v>10</v>
      </c>
      <c r="C583" s="1">
        <v>43760</v>
      </c>
      <c r="D583">
        <v>2019</v>
      </c>
      <c r="E583">
        <v>10</v>
      </c>
      <c r="F583">
        <v>21.718490599999999</v>
      </c>
      <c r="G583" t="s">
        <v>9</v>
      </c>
    </row>
    <row r="584" spans="1:7" x14ac:dyDescent="0.25">
      <c r="A584" t="s">
        <v>7</v>
      </c>
      <c r="B584" t="s">
        <v>10</v>
      </c>
      <c r="C584" s="1">
        <v>43761</v>
      </c>
      <c r="D584">
        <v>2019</v>
      </c>
      <c r="E584">
        <v>10</v>
      </c>
      <c r="F584">
        <v>43.509067539999997</v>
      </c>
      <c r="G584" t="s">
        <v>9</v>
      </c>
    </row>
    <row r="585" spans="1:7" x14ac:dyDescent="0.25">
      <c r="A585" t="s">
        <v>7</v>
      </c>
      <c r="B585" t="s">
        <v>10</v>
      </c>
      <c r="C585" s="1">
        <v>43765</v>
      </c>
      <c r="D585">
        <v>2019</v>
      </c>
      <c r="E585">
        <v>10</v>
      </c>
      <c r="F585">
        <v>1.3424707650000001</v>
      </c>
      <c r="G585" t="s">
        <v>9</v>
      </c>
    </row>
    <row r="586" spans="1:7" x14ac:dyDescent="0.25">
      <c r="A586" t="s">
        <v>7</v>
      </c>
      <c r="B586" t="s">
        <v>11</v>
      </c>
      <c r="C586" s="1">
        <v>43561</v>
      </c>
      <c r="D586">
        <v>2019</v>
      </c>
      <c r="E586">
        <v>4</v>
      </c>
      <c r="F586">
        <v>0</v>
      </c>
      <c r="G586" t="s">
        <v>9</v>
      </c>
    </row>
    <row r="587" spans="1:7" x14ac:dyDescent="0.25">
      <c r="A587" t="s">
        <v>7</v>
      </c>
      <c r="B587" t="s">
        <v>11</v>
      </c>
      <c r="C587" s="1">
        <v>43568</v>
      </c>
      <c r="D587">
        <v>2019</v>
      </c>
      <c r="E587">
        <v>4</v>
      </c>
      <c r="F587">
        <v>0</v>
      </c>
      <c r="G587" t="s">
        <v>9</v>
      </c>
    </row>
    <row r="588" spans="1:7" x14ac:dyDescent="0.25">
      <c r="A588" t="s">
        <v>7</v>
      </c>
      <c r="B588" t="s">
        <v>11</v>
      </c>
      <c r="C588" s="1">
        <v>43569</v>
      </c>
      <c r="D588">
        <v>2019</v>
      </c>
      <c r="E588">
        <v>4</v>
      </c>
      <c r="F588">
        <v>0</v>
      </c>
      <c r="G588" t="s">
        <v>9</v>
      </c>
    </row>
    <row r="589" spans="1:7" x14ac:dyDescent="0.25">
      <c r="A589" t="s">
        <v>7</v>
      </c>
      <c r="B589" t="s">
        <v>11</v>
      </c>
      <c r="C589" s="1">
        <v>43579</v>
      </c>
      <c r="D589">
        <v>2019</v>
      </c>
      <c r="E589">
        <v>4</v>
      </c>
      <c r="F589">
        <v>5.1389564999999998E-2</v>
      </c>
      <c r="G589" t="s">
        <v>9</v>
      </c>
    </row>
    <row r="590" spans="1:7" x14ac:dyDescent="0.25">
      <c r="A590" t="s">
        <v>7</v>
      </c>
      <c r="B590" t="s">
        <v>11</v>
      </c>
      <c r="C590" s="1">
        <v>43580</v>
      </c>
      <c r="D590">
        <v>2019</v>
      </c>
      <c r="E590">
        <v>4</v>
      </c>
      <c r="F590">
        <v>0</v>
      </c>
      <c r="G590" t="s">
        <v>9</v>
      </c>
    </row>
    <row r="591" spans="1:7" x14ac:dyDescent="0.25">
      <c r="A591" t="s">
        <v>7</v>
      </c>
      <c r="B591" t="s">
        <v>11</v>
      </c>
      <c r="C591" s="1">
        <v>43584</v>
      </c>
      <c r="D591">
        <v>2019</v>
      </c>
      <c r="E591">
        <v>4</v>
      </c>
      <c r="F591">
        <v>0</v>
      </c>
      <c r="G591" t="s">
        <v>9</v>
      </c>
    </row>
    <row r="592" spans="1:7" x14ac:dyDescent="0.25">
      <c r="A592" t="s">
        <v>7</v>
      </c>
      <c r="B592" t="s">
        <v>11</v>
      </c>
      <c r="C592" s="1">
        <v>43591</v>
      </c>
      <c r="D592">
        <v>2019</v>
      </c>
      <c r="E592">
        <v>5</v>
      </c>
      <c r="F592">
        <v>0</v>
      </c>
      <c r="G592" t="s">
        <v>9</v>
      </c>
    </row>
    <row r="593" spans="1:7" x14ac:dyDescent="0.25">
      <c r="A593" t="s">
        <v>7</v>
      </c>
      <c r="B593" t="s">
        <v>11</v>
      </c>
      <c r="C593" s="1">
        <v>43592</v>
      </c>
      <c r="D593">
        <v>2019</v>
      </c>
      <c r="E593">
        <v>5</v>
      </c>
      <c r="F593">
        <v>0</v>
      </c>
      <c r="G593" t="s">
        <v>9</v>
      </c>
    </row>
    <row r="594" spans="1:7" x14ac:dyDescent="0.25">
      <c r="A594" t="s">
        <v>7</v>
      </c>
      <c r="B594" t="s">
        <v>11</v>
      </c>
      <c r="C594" s="1">
        <v>43597</v>
      </c>
      <c r="D594">
        <v>2019</v>
      </c>
      <c r="E594">
        <v>5</v>
      </c>
      <c r="F594">
        <v>0</v>
      </c>
      <c r="G594" t="s">
        <v>9</v>
      </c>
    </row>
    <row r="595" spans="1:7" x14ac:dyDescent="0.25">
      <c r="A595" t="s">
        <v>7</v>
      </c>
      <c r="B595" t="s">
        <v>11</v>
      </c>
      <c r="C595" s="1">
        <v>43606</v>
      </c>
      <c r="D595">
        <v>2019</v>
      </c>
      <c r="E595">
        <v>5</v>
      </c>
      <c r="F595">
        <v>0</v>
      </c>
      <c r="G595" t="s">
        <v>9</v>
      </c>
    </row>
    <row r="596" spans="1:7" x14ac:dyDescent="0.25">
      <c r="A596" t="s">
        <v>7</v>
      </c>
      <c r="B596" t="s">
        <v>11</v>
      </c>
      <c r="C596" s="1">
        <v>43608</v>
      </c>
      <c r="D596">
        <v>2019</v>
      </c>
      <c r="E596">
        <v>5</v>
      </c>
      <c r="F596">
        <v>0</v>
      </c>
      <c r="G596" t="s">
        <v>9</v>
      </c>
    </row>
    <row r="597" spans="1:7" x14ac:dyDescent="0.25">
      <c r="A597" t="s">
        <v>7</v>
      </c>
      <c r="B597" t="s">
        <v>11</v>
      </c>
      <c r="C597" s="1">
        <v>43612</v>
      </c>
      <c r="D597">
        <v>2019</v>
      </c>
      <c r="E597">
        <v>5</v>
      </c>
      <c r="F597">
        <v>0</v>
      </c>
      <c r="G597" t="s">
        <v>9</v>
      </c>
    </row>
    <row r="598" spans="1:7" x14ac:dyDescent="0.25">
      <c r="A598" t="s">
        <v>7</v>
      </c>
      <c r="B598" t="s">
        <v>11</v>
      </c>
      <c r="C598" s="1">
        <v>43613</v>
      </c>
      <c r="D598">
        <v>2019</v>
      </c>
      <c r="E598">
        <v>5</v>
      </c>
      <c r="F598">
        <v>0</v>
      </c>
      <c r="G598" t="s">
        <v>9</v>
      </c>
    </row>
    <row r="599" spans="1:7" x14ac:dyDescent="0.25">
      <c r="A599" t="s">
        <v>7</v>
      </c>
      <c r="B599" t="s">
        <v>11</v>
      </c>
      <c r="C599" s="1">
        <v>43624</v>
      </c>
      <c r="D599">
        <v>2019</v>
      </c>
      <c r="E599">
        <v>6</v>
      </c>
      <c r="F599">
        <v>0</v>
      </c>
      <c r="G599" t="s">
        <v>9</v>
      </c>
    </row>
    <row r="600" spans="1:7" x14ac:dyDescent="0.25">
      <c r="A600" t="s">
        <v>7</v>
      </c>
      <c r="B600" t="s">
        <v>11</v>
      </c>
      <c r="C600" s="1">
        <v>43631</v>
      </c>
      <c r="D600">
        <v>2019</v>
      </c>
      <c r="E600">
        <v>6</v>
      </c>
      <c r="F600">
        <v>0</v>
      </c>
      <c r="G600" t="s">
        <v>9</v>
      </c>
    </row>
    <row r="601" spans="1:7" x14ac:dyDescent="0.25">
      <c r="A601" t="s">
        <v>7</v>
      </c>
      <c r="B601" t="s">
        <v>11</v>
      </c>
      <c r="C601" s="1">
        <v>43641</v>
      </c>
      <c r="D601">
        <v>2019</v>
      </c>
      <c r="E601">
        <v>6</v>
      </c>
      <c r="F601">
        <v>0</v>
      </c>
      <c r="G601" t="s">
        <v>9</v>
      </c>
    </row>
    <row r="602" spans="1:7" x14ac:dyDescent="0.25">
      <c r="A602" t="s">
        <v>7</v>
      </c>
      <c r="B602" t="s">
        <v>11</v>
      </c>
      <c r="C602" s="1">
        <v>43643</v>
      </c>
      <c r="D602">
        <v>2019</v>
      </c>
      <c r="E602">
        <v>6</v>
      </c>
      <c r="F602">
        <v>11.884324380000001</v>
      </c>
      <c r="G602" t="s">
        <v>9</v>
      </c>
    </row>
    <row r="603" spans="1:7" x14ac:dyDescent="0.25">
      <c r="A603" t="s">
        <v>7</v>
      </c>
      <c r="B603" t="s">
        <v>11</v>
      </c>
      <c r="C603" s="1">
        <v>43660</v>
      </c>
      <c r="D603">
        <v>2019</v>
      </c>
      <c r="E603">
        <v>7</v>
      </c>
      <c r="F603">
        <v>0</v>
      </c>
      <c r="G603" t="s">
        <v>9</v>
      </c>
    </row>
    <row r="604" spans="1:7" x14ac:dyDescent="0.25">
      <c r="A604" t="s">
        <v>7</v>
      </c>
      <c r="B604" t="s">
        <v>11</v>
      </c>
      <c r="C604" s="1">
        <v>43661</v>
      </c>
      <c r="D604">
        <v>2019</v>
      </c>
      <c r="E604">
        <v>7</v>
      </c>
      <c r="F604">
        <v>19.757189499999999</v>
      </c>
      <c r="G604" t="s">
        <v>9</v>
      </c>
    </row>
    <row r="605" spans="1:7" x14ac:dyDescent="0.25">
      <c r="A605" t="s">
        <v>7</v>
      </c>
      <c r="B605" t="s">
        <v>11</v>
      </c>
      <c r="C605" s="1">
        <v>43662</v>
      </c>
      <c r="D605">
        <v>2019</v>
      </c>
      <c r="E605">
        <v>7</v>
      </c>
      <c r="F605">
        <v>0</v>
      </c>
      <c r="G605" t="s">
        <v>9</v>
      </c>
    </row>
    <row r="606" spans="1:7" x14ac:dyDescent="0.25">
      <c r="A606" t="s">
        <v>7</v>
      </c>
      <c r="B606" t="s">
        <v>11</v>
      </c>
      <c r="C606" s="1">
        <v>43667</v>
      </c>
      <c r="D606">
        <v>2019</v>
      </c>
      <c r="E606">
        <v>7</v>
      </c>
      <c r="F606">
        <v>0</v>
      </c>
      <c r="G606" t="s">
        <v>9</v>
      </c>
    </row>
    <row r="607" spans="1:7" x14ac:dyDescent="0.25">
      <c r="A607" t="s">
        <v>7</v>
      </c>
      <c r="B607" t="s">
        <v>11</v>
      </c>
      <c r="C607" s="1">
        <v>43672</v>
      </c>
      <c r="D607">
        <v>2019</v>
      </c>
      <c r="E607">
        <v>7</v>
      </c>
      <c r="F607">
        <v>0.60875058199999998</v>
      </c>
      <c r="G607" t="s">
        <v>9</v>
      </c>
    </row>
    <row r="608" spans="1:7" x14ac:dyDescent="0.25">
      <c r="A608" t="s">
        <v>7</v>
      </c>
      <c r="B608" t="s">
        <v>11</v>
      </c>
      <c r="C608" s="1">
        <v>43673</v>
      </c>
      <c r="D608">
        <v>2019</v>
      </c>
      <c r="E608">
        <v>7</v>
      </c>
      <c r="F608">
        <v>0</v>
      </c>
      <c r="G608" t="s">
        <v>9</v>
      </c>
    </row>
    <row r="609" spans="1:7" x14ac:dyDescent="0.25">
      <c r="A609" t="s">
        <v>7</v>
      </c>
      <c r="B609" t="s">
        <v>11</v>
      </c>
      <c r="C609" s="1">
        <v>43682</v>
      </c>
      <c r="D609">
        <v>2019</v>
      </c>
      <c r="E609">
        <v>8</v>
      </c>
      <c r="F609">
        <v>0</v>
      </c>
      <c r="G609" t="s">
        <v>9</v>
      </c>
    </row>
    <row r="610" spans="1:7" x14ac:dyDescent="0.25">
      <c r="A610" t="s">
        <v>7</v>
      </c>
      <c r="B610" t="s">
        <v>11</v>
      </c>
      <c r="C610" s="1">
        <v>43684</v>
      </c>
      <c r="D610">
        <v>2019</v>
      </c>
      <c r="E610">
        <v>8</v>
      </c>
      <c r="F610">
        <v>2.2796313289999999</v>
      </c>
      <c r="G610" t="s">
        <v>9</v>
      </c>
    </row>
    <row r="611" spans="1:7" x14ac:dyDescent="0.25">
      <c r="A611" t="s">
        <v>7</v>
      </c>
      <c r="B611" t="s">
        <v>11</v>
      </c>
      <c r="C611" s="1">
        <v>43697</v>
      </c>
      <c r="D611">
        <v>2019</v>
      </c>
      <c r="E611">
        <v>8</v>
      </c>
      <c r="F611">
        <v>1.4132511910000001</v>
      </c>
      <c r="G611" t="s">
        <v>9</v>
      </c>
    </row>
    <row r="612" spans="1:7" x14ac:dyDescent="0.25">
      <c r="A612" t="s">
        <v>7</v>
      </c>
      <c r="B612" t="s">
        <v>11</v>
      </c>
      <c r="C612" s="1">
        <v>43703</v>
      </c>
      <c r="D612">
        <v>2019</v>
      </c>
      <c r="E612">
        <v>8</v>
      </c>
      <c r="F612">
        <v>4.4884442389999997</v>
      </c>
      <c r="G612" t="s">
        <v>9</v>
      </c>
    </row>
    <row r="613" spans="1:7" x14ac:dyDescent="0.25">
      <c r="A613" t="s">
        <v>7</v>
      </c>
      <c r="B613" t="s">
        <v>11</v>
      </c>
      <c r="C613" s="1">
        <v>43705</v>
      </c>
      <c r="D613">
        <v>2019</v>
      </c>
      <c r="E613">
        <v>8</v>
      </c>
      <c r="F613">
        <v>0</v>
      </c>
      <c r="G613" t="s">
        <v>9</v>
      </c>
    </row>
    <row r="614" spans="1:7" x14ac:dyDescent="0.25">
      <c r="A614" t="s">
        <v>7</v>
      </c>
      <c r="B614" t="s">
        <v>11</v>
      </c>
      <c r="C614" s="1">
        <v>43712</v>
      </c>
      <c r="D614">
        <v>2019</v>
      </c>
      <c r="E614">
        <v>9</v>
      </c>
      <c r="F614">
        <v>8.8525319000000005E-2</v>
      </c>
      <c r="G614" t="s">
        <v>9</v>
      </c>
    </row>
    <row r="615" spans="1:7" x14ac:dyDescent="0.25">
      <c r="A615" t="s">
        <v>7</v>
      </c>
      <c r="B615" t="s">
        <v>11</v>
      </c>
      <c r="C615" s="1">
        <v>43717</v>
      </c>
      <c r="D615">
        <v>2019</v>
      </c>
      <c r="E615">
        <v>9</v>
      </c>
      <c r="F615">
        <v>0</v>
      </c>
      <c r="G615" t="s">
        <v>9</v>
      </c>
    </row>
    <row r="616" spans="1:7" x14ac:dyDescent="0.25">
      <c r="A616" t="s">
        <v>7</v>
      </c>
      <c r="B616" t="s">
        <v>11</v>
      </c>
      <c r="C616" s="1">
        <v>43723</v>
      </c>
      <c r="D616">
        <v>2019</v>
      </c>
      <c r="E616">
        <v>9</v>
      </c>
      <c r="F616">
        <v>0</v>
      </c>
      <c r="G616" t="s">
        <v>9</v>
      </c>
    </row>
    <row r="617" spans="1:7" x14ac:dyDescent="0.25">
      <c r="A617" t="s">
        <v>7</v>
      </c>
      <c r="B617" t="s">
        <v>11</v>
      </c>
      <c r="C617" s="1">
        <v>43730</v>
      </c>
      <c r="D617">
        <v>2019</v>
      </c>
      <c r="E617">
        <v>9</v>
      </c>
      <c r="F617">
        <v>0</v>
      </c>
      <c r="G617" t="s">
        <v>9</v>
      </c>
    </row>
    <row r="618" spans="1:7" x14ac:dyDescent="0.25">
      <c r="A618" t="s">
        <v>7</v>
      </c>
      <c r="B618" t="s">
        <v>11</v>
      </c>
      <c r="C618" s="1">
        <v>43731</v>
      </c>
      <c r="D618">
        <v>2019</v>
      </c>
      <c r="E618">
        <v>9</v>
      </c>
      <c r="F618">
        <v>4.3415679059999999</v>
      </c>
      <c r="G618" t="s">
        <v>9</v>
      </c>
    </row>
    <row r="619" spans="1:7" x14ac:dyDescent="0.25">
      <c r="A619" t="s">
        <v>7</v>
      </c>
      <c r="B619" t="s">
        <v>11</v>
      </c>
      <c r="C619" s="1">
        <v>43733</v>
      </c>
      <c r="D619">
        <v>2019</v>
      </c>
      <c r="E619">
        <v>9</v>
      </c>
      <c r="F619">
        <v>4.3609947870000001</v>
      </c>
      <c r="G619" t="s">
        <v>9</v>
      </c>
    </row>
    <row r="620" spans="1:7" x14ac:dyDescent="0.25">
      <c r="A620" t="s">
        <v>7</v>
      </c>
      <c r="B620" t="s">
        <v>11</v>
      </c>
      <c r="C620" s="1">
        <v>43735</v>
      </c>
      <c r="D620">
        <v>2019</v>
      </c>
      <c r="E620">
        <v>9</v>
      </c>
      <c r="F620">
        <v>0</v>
      </c>
      <c r="G620" t="s">
        <v>9</v>
      </c>
    </row>
    <row r="621" spans="1:7" x14ac:dyDescent="0.25">
      <c r="A621" t="s">
        <v>7</v>
      </c>
      <c r="B621" t="s">
        <v>11</v>
      </c>
      <c r="C621" s="1">
        <v>43741</v>
      </c>
      <c r="D621">
        <v>2019</v>
      </c>
      <c r="E621">
        <v>10</v>
      </c>
      <c r="F621">
        <v>0</v>
      </c>
      <c r="G621" t="s">
        <v>9</v>
      </c>
    </row>
    <row r="622" spans="1:7" x14ac:dyDescent="0.25">
      <c r="A622" t="s">
        <v>7</v>
      </c>
      <c r="B622" t="s">
        <v>11</v>
      </c>
      <c r="C622" s="1">
        <v>43750</v>
      </c>
      <c r="D622">
        <v>2019</v>
      </c>
      <c r="E622">
        <v>10</v>
      </c>
      <c r="F622">
        <v>6.2290386000000003E-2</v>
      </c>
      <c r="G622" t="s">
        <v>9</v>
      </c>
    </row>
    <row r="623" spans="1:7" x14ac:dyDescent="0.25">
      <c r="A623" t="s">
        <v>7</v>
      </c>
      <c r="B623" t="s">
        <v>11</v>
      </c>
      <c r="C623" s="1">
        <v>43758</v>
      </c>
      <c r="D623">
        <v>2019</v>
      </c>
      <c r="E623">
        <v>10</v>
      </c>
      <c r="F623">
        <v>16.111966219999999</v>
      </c>
      <c r="G623" t="s">
        <v>9</v>
      </c>
    </row>
    <row r="624" spans="1:7" x14ac:dyDescent="0.25">
      <c r="A624" t="s">
        <v>7</v>
      </c>
      <c r="B624" t="s">
        <v>11</v>
      </c>
      <c r="C624" s="1">
        <v>43759</v>
      </c>
      <c r="D624">
        <v>2019</v>
      </c>
      <c r="E624">
        <v>10</v>
      </c>
      <c r="F624">
        <v>21.80448453</v>
      </c>
      <c r="G624" t="s">
        <v>9</v>
      </c>
    </row>
    <row r="625" spans="1:7" x14ac:dyDescent="0.25">
      <c r="A625" t="s">
        <v>7</v>
      </c>
      <c r="B625" t="s">
        <v>11</v>
      </c>
      <c r="C625" s="1">
        <v>43768</v>
      </c>
      <c r="D625">
        <v>2019</v>
      </c>
      <c r="E625">
        <v>10</v>
      </c>
      <c r="F625">
        <v>38.517860919999997</v>
      </c>
      <c r="G625" t="s">
        <v>9</v>
      </c>
    </row>
    <row r="626" spans="1:7" x14ac:dyDescent="0.25">
      <c r="A626" t="s">
        <v>7</v>
      </c>
      <c r="B626" t="s">
        <v>11</v>
      </c>
      <c r="C626" s="1">
        <v>43782</v>
      </c>
      <c r="D626">
        <v>2019</v>
      </c>
      <c r="E626">
        <v>11</v>
      </c>
      <c r="F626">
        <v>1.7139082919999999</v>
      </c>
      <c r="G626" t="s">
        <v>9</v>
      </c>
    </row>
    <row r="627" spans="1:7" x14ac:dyDescent="0.25">
      <c r="A627" t="s">
        <v>7</v>
      </c>
      <c r="B627" t="s">
        <v>11</v>
      </c>
      <c r="C627" s="1">
        <v>43783</v>
      </c>
      <c r="D627">
        <v>2019</v>
      </c>
      <c r="E627">
        <v>11</v>
      </c>
      <c r="F627">
        <v>1.6764121780000001</v>
      </c>
      <c r="G627" t="s">
        <v>9</v>
      </c>
    </row>
    <row r="628" spans="1:7" x14ac:dyDescent="0.25">
      <c r="A628" t="s">
        <v>7</v>
      </c>
      <c r="B628" t="s">
        <v>11</v>
      </c>
      <c r="C628" s="1">
        <v>43784</v>
      </c>
      <c r="D628">
        <v>2019</v>
      </c>
      <c r="E628">
        <v>11</v>
      </c>
      <c r="F628">
        <v>5.2347851079999996</v>
      </c>
      <c r="G628" t="s">
        <v>9</v>
      </c>
    </row>
    <row r="629" spans="1:7" x14ac:dyDescent="0.25">
      <c r="A629" t="s">
        <v>7</v>
      </c>
      <c r="B629" t="s">
        <v>11</v>
      </c>
      <c r="C629" s="1">
        <v>43785</v>
      </c>
      <c r="D629">
        <v>2019</v>
      </c>
      <c r="E629">
        <v>11</v>
      </c>
      <c r="F629">
        <v>4.7801779370000004</v>
      </c>
      <c r="G629" t="s">
        <v>9</v>
      </c>
    </row>
    <row r="630" spans="1:7" x14ac:dyDescent="0.25">
      <c r="A630" t="s">
        <v>7</v>
      </c>
      <c r="B630" t="s">
        <v>11</v>
      </c>
      <c r="C630" s="1">
        <v>43787</v>
      </c>
      <c r="D630">
        <v>2019</v>
      </c>
      <c r="E630">
        <v>11</v>
      </c>
      <c r="F630">
        <v>13.01558676</v>
      </c>
      <c r="G630" t="s">
        <v>9</v>
      </c>
    </row>
    <row r="631" spans="1:7" x14ac:dyDescent="0.25">
      <c r="A631" t="s">
        <v>7</v>
      </c>
      <c r="B631" t="s">
        <v>11</v>
      </c>
      <c r="C631" s="1">
        <v>43796</v>
      </c>
      <c r="D631">
        <v>2019</v>
      </c>
      <c r="E631">
        <v>11</v>
      </c>
      <c r="F631">
        <v>8.2786593780000004</v>
      </c>
      <c r="G631" t="s">
        <v>9</v>
      </c>
    </row>
    <row r="632" spans="1:7" x14ac:dyDescent="0.25">
      <c r="A632" t="s">
        <v>7</v>
      </c>
      <c r="B632" t="s">
        <v>11</v>
      </c>
      <c r="C632" s="1">
        <v>43797</v>
      </c>
      <c r="D632">
        <v>2019</v>
      </c>
      <c r="E632">
        <v>11</v>
      </c>
      <c r="F632">
        <v>41.754183300000001</v>
      </c>
      <c r="G632" t="s">
        <v>9</v>
      </c>
    </row>
    <row r="633" spans="1:7" x14ac:dyDescent="0.25">
      <c r="A633" t="s">
        <v>7</v>
      </c>
      <c r="B633" t="s">
        <v>11</v>
      </c>
      <c r="C633" s="1">
        <v>43798</v>
      </c>
      <c r="D633">
        <v>2019</v>
      </c>
      <c r="E633">
        <v>11</v>
      </c>
      <c r="F633">
        <v>43.741378650000001</v>
      </c>
      <c r="G633" t="s">
        <v>9</v>
      </c>
    </row>
    <row r="634" spans="1:7" x14ac:dyDescent="0.25">
      <c r="A634" t="s">
        <v>7</v>
      </c>
      <c r="B634" t="s">
        <v>11</v>
      </c>
      <c r="C634" s="1">
        <v>43805</v>
      </c>
      <c r="D634">
        <v>2019</v>
      </c>
      <c r="E634">
        <v>12</v>
      </c>
      <c r="F634">
        <v>0</v>
      </c>
      <c r="G634" t="s">
        <v>9</v>
      </c>
    </row>
    <row r="635" spans="1:7" x14ac:dyDescent="0.25">
      <c r="A635" t="s">
        <v>7</v>
      </c>
      <c r="B635" t="s">
        <v>11</v>
      </c>
      <c r="C635" s="1">
        <v>43809</v>
      </c>
      <c r="D635">
        <v>2019</v>
      </c>
      <c r="E635">
        <v>12</v>
      </c>
      <c r="F635">
        <v>0</v>
      </c>
      <c r="G635" t="s">
        <v>9</v>
      </c>
    </row>
    <row r="636" spans="1:7" x14ac:dyDescent="0.25">
      <c r="A636" t="s">
        <v>7</v>
      </c>
      <c r="B636" t="s">
        <v>11</v>
      </c>
      <c r="C636" s="1">
        <v>43811</v>
      </c>
      <c r="D636">
        <v>2019</v>
      </c>
      <c r="E636">
        <v>12</v>
      </c>
      <c r="F636">
        <v>0</v>
      </c>
      <c r="G636" t="s">
        <v>9</v>
      </c>
    </row>
    <row r="637" spans="1:7" x14ac:dyDescent="0.25">
      <c r="A637" t="s">
        <v>7</v>
      </c>
      <c r="B637" t="s">
        <v>11</v>
      </c>
      <c r="C637" s="1">
        <v>43824</v>
      </c>
      <c r="D637">
        <v>2019</v>
      </c>
      <c r="E637">
        <v>12</v>
      </c>
      <c r="F637">
        <v>102.7562312</v>
      </c>
      <c r="G637" t="s">
        <v>9</v>
      </c>
    </row>
    <row r="638" spans="1:7" x14ac:dyDescent="0.25">
      <c r="A638" t="s">
        <v>7</v>
      </c>
      <c r="B638" t="s">
        <v>11</v>
      </c>
      <c r="C638" s="1">
        <v>43828</v>
      </c>
      <c r="D638">
        <v>2019</v>
      </c>
      <c r="E638">
        <v>12</v>
      </c>
      <c r="F638">
        <v>0</v>
      </c>
      <c r="G638" t="s">
        <v>9</v>
      </c>
    </row>
    <row r="639" spans="1:7" x14ac:dyDescent="0.25">
      <c r="A639" t="s">
        <v>7</v>
      </c>
      <c r="B639" t="s">
        <v>12</v>
      </c>
      <c r="C639" s="1">
        <v>43470</v>
      </c>
      <c r="D639">
        <v>2019</v>
      </c>
      <c r="E639">
        <v>1</v>
      </c>
      <c r="F639">
        <v>0</v>
      </c>
      <c r="G639" t="s">
        <v>9</v>
      </c>
    </row>
    <row r="640" spans="1:7" x14ac:dyDescent="0.25">
      <c r="A640" t="s">
        <v>7</v>
      </c>
      <c r="B640" t="s">
        <v>12</v>
      </c>
      <c r="C640" s="1">
        <v>43472</v>
      </c>
      <c r="D640">
        <v>2019</v>
      </c>
      <c r="E640">
        <v>1</v>
      </c>
      <c r="F640">
        <v>0</v>
      </c>
      <c r="G640" t="s">
        <v>9</v>
      </c>
    </row>
    <row r="641" spans="1:7" x14ac:dyDescent="0.25">
      <c r="A641" t="s">
        <v>7</v>
      </c>
      <c r="B641" t="s">
        <v>12</v>
      </c>
      <c r="C641" s="1">
        <v>43475</v>
      </c>
      <c r="D641">
        <v>2019</v>
      </c>
      <c r="E641">
        <v>1</v>
      </c>
      <c r="F641">
        <v>0</v>
      </c>
      <c r="G641" t="s">
        <v>9</v>
      </c>
    </row>
    <row r="642" spans="1:7" x14ac:dyDescent="0.25">
      <c r="A642" t="s">
        <v>7</v>
      </c>
      <c r="B642" t="s">
        <v>12</v>
      </c>
      <c r="C642" s="1">
        <v>43478</v>
      </c>
      <c r="D642">
        <v>2019</v>
      </c>
      <c r="E642">
        <v>1</v>
      </c>
      <c r="F642">
        <v>0</v>
      </c>
      <c r="G642" t="s">
        <v>9</v>
      </c>
    </row>
    <row r="643" spans="1:7" x14ac:dyDescent="0.25">
      <c r="A643" t="s">
        <v>7</v>
      </c>
      <c r="B643" t="s">
        <v>12</v>
      </c>
      <c r="C643" s="1">
        <v>43484</v>
      </c>
      <c r="D643">
        <v>2019</v>
      </c>
      <c r="E643">
        <v>1</v>
      </c>
      <c r="F643">
        <v>0</v>
      </c>
      <c r="G643" t="s">
        <v>9</v>
      </c>
    </row>
    <row r="644" spans="1:7" x14ac:dyDescent="0.25">
      <c r="A644" t="s">
        <v>7</v>
      </c>
      <c r="B644" t="s">
        <v>12</v>
      </c>
      <c r="C644" s="1">
        <v>43486</v>
      </c>
      <c r="D644">
        <v>2019</v>
      </c>
      <c r="E644">
        <v>1</v>
      </c>
      <c r="F644">
        <v>0</v>
      </c>
      <c r="G644" t="s">
        <v>9</v>
      </c>
    </row>
    <row r="645" spans="1:7" x14ac:dyDescent="0.25">
      <c r="A645" t="s">
        <v>7</v>
      </c>
      <c r="B645" t="s">
        <v>12</v>
      </c>
      <c r="C645" s="1">
        <v>43487</v>
      </c>
      <c r="D645">
        <v>2019</v>
      </c>
      <c r="E645">
        <v>1</v>
      </c>
      <c r="F645">
        <v>0</v>
      </c>
      <c r="G645" t="s">
        <v>9</v>
      </c>
    </row>
    <row r="646" spans="1:7" x14ac:dyDescent="0.25">
      <c r="A646" t="s">
        <v>7</v>
      </c>
      <c r="B646" t="s">
        <v>12</v>
      </c>
      <c r="C646" s="1">
        <v>43490</v>
      </c>
      <c r="D646">
        <v>2019</v>
      </c>
      <c r="E646">
        <v>1</v>
      </c>
      <c r="F646">
        <v>0</v>
      </c>
      <c r="G646" t="s">
        <v>9</v>
      </c>
    </row>
    <row r="647" spans="1:7" x14ac:dyDescent="0.25">
      <c r="A647" t="s">
        <v>7</v>
      </c>
      <c r="B647" t="s">
        <v>12</v>
      </c>
      <c r="C647" s="1">
        <v>43494</v>
      </c>
      <c r="D647">
        <v>2019</v>
      </c>
      <c r="E647">
        <v>1</v>
      </c>
      <c r="F647">
        <v>0</v>
      </c>
      <c r="G647" t="s">
        <v>9</v>
      </c>
    </row>
    <row r="648" spans="1:7" x14ac:dyDescent="0.25">
      <c r="A648" t="s">
        <v>7</v>
      </c>
      <c r="B648" t="s">
        <v>12</v>
      </c>
      <c r="C648" s="1">
        <v>43501</v>
      </c>
      <c r="D648">
        <v>2019</v>
      </c>
      <c r="E648">
        <v>2</v>
      </c>
      <c r="F648">
        <v>0</v>
      </c>
      <c r="G648" t="s">
        <v>9</v>
      </c>
    </row>
    <row r="649" spans="1:7" x14ac:dyDescent="0.25">
      <c r="A649" t="s">
        <v>7</v>
      </c>
      <c r="B649" t="s">
        <v>12</v>
      </c>
      <c r="C649" s="1">
        <v>43502</v>
      </c>
      <c r="D649">
        <v>2019</v>
      </c>
      <c r="E649">
        <v>2</v>
      </c>
      <c r="F649">
        <v>0</v>
      </c>
      <c r="G649" t="s">
        <v>9</v>
      </c>
    </row>
    <row r="650" spans="1:7" x14ac:dyDescent="0.25">
      <c r="A650" t="s">
        <v>7</v>
      </c>
      <c r="B650" t="s">
        <v>12</v>
      </c>
      <c r="C650" s="1">
        <v>43503</v>
      </c>
      <c r="D650">
        <v>2019</v>
      </c>
      <c r="E650">
        <v>2</v>
      </c>
      <c r="F650">
        <v>0</v>
      </c>
      <c r="G650" t="s">
        <v>9</v>
      </c>
    </row>
    <row r="651" spans="1:7" x14ac:dyDescent="0.25">
      <c r="A651" t="s">
        <v>7</v>
      </c>
      <c r="B651" t="s">
        <v>12</v>
      </c>
      <c r="C651" s="1">
        <v>43515</v>
      </c>
      <c r="D651">
        <v>2019</v>
      </c>
      <c r="E651">
        <v>2</v>
      </c>
      <c r="F651">
        <v>0</v>
      </c>
      <c r="G651" t="s">
        <v>9</v>
      </c>
    </row>
    <row r="652" spans="1:7" x14ac:dyDescent="0.25">
      <c r="A652" t="s">
        <v>7</v>
      </c>
      <c r="B652" t="s">
        <v>12</v>
      </c>
      <c r="C652" s="1">
        <v>43526</v>
      </c>
      <c r="D652">
        <v>2019</v>
      </c>
      <c r="E652">
        <v>3</v>
      </c>
      <c r="F652">
        <v>0</v>
      </c>
      <c r="G652" t="s">
        <v>9</v>
      </c>
    </row>
    <row r="653" spans="1:7" x14ac:dyDescent="0.25">
      <c r="A653" t="s">
        <v>7</v>
      </c>
      <c r="B653" t="s">
        <v>12</v>
      </c>
      <c r="C653" s="1">
        <v>43534</v>
      </c>
      <c r="D653">
        <v>2019</v>
      </c>
      <c r="E653">
        <v>3</v>
      </c>
      <c r="F653">
        <v>0</v>
      </c>
      <c r="G653" t="s">
        <v>9</v>
      </c>
    </row>
    <row r="654" spans="1:7" x14ac:dyDescent="0.25">
      <c r="A654" t="s">
        <v>7</v>
      </c>
      <c r="B654" t="s">
        <v>12</v>
      </c>
      <c r="C654" s="1">
        <v>43537</v>
      </c>
      <c r="D654">
        <v>2019</v>
      </c>
      <c r="E654">
        <v>3</v>
      </c>
      <c r="F654">
        <v>0</v>
      </c>
      <c r="G654" t="s">
        <v>9</v>
      </c>
    </row>
    <row r="655" spans="1:7" x14ac:dyDescent="0.25">
      <c r="A655" t="s">
        <v>7</v>
      </c>
      <c r="B655" t="s">
        <v>12</v>
      </c>
      <c r="C655" s="1">
        <v>43541</v>
      </c>
      <c r="D655">
        <v>2019</v>
      </c>
      <c r="E655">
        <v>3</v>
      </c>
      <c r="F655">
        <v>0</v>
      </c>
      <c r="G655" t="s">
        <v>9</v>
      </c>
    </row>
    <row r="656" spans="1:7" x14ac:dyDescent="0.25">
      <c r="A656" t="s">
        <v>7</v>
      </c>
      <c r="B656" t="s">
        <v>12</v>
      </c>
      <c r="C656" s="1">
        <v>43544</v>
      </c>
      <c r="D656">
        <v>2019</v>
      </c>
      <c r="E656">
        <v>3</v>
      </c>
      <c r="F656">
        <v>0</v>
      </c>
      <c r="G656" t="s">
        <v>9</v>
      </c>
    </row>
    <row r="657" spans="1:7" x14ac:dyDescent="0.25">
      <c r="A657" t="s">
        <v>7</v>
      </c>
      <c r="B657" t="s">
        <v>12</v>
      </c>
      <c r="C657" s="1">
        <v>43546</v>
      </c>
      <c r="D657">
        <v>2019</v>
      </c>
      <c r="E657">
        <v>3</v>
      </c>
      <c r="F657">
        <v>0</v>
      </c>
      <c r="G657" t="s">
        <v>9</v>
      </c>
    </row>
    <row r="658" spans="1:7" x14ac:dyDescent="0.25">
      <c r="A658" t="s">
        <v>7</v>
      </c>
      <c r="B658" t="s">
        <v>12</v>
      </c>
      <c r="C658" s="1">
        <v>43550</v>
      </c>
      <c r="D658">
        <v>2019</v>
      </c>
      <c r="E658">
        <v>3</v>
      </c>
      <c r="F658">
        <v>0</v>
      </c>
      <c r="G658" t="s">
        <v>9</v>
      </c>
    </row>
    <row r="659" spans="1:7" x14ac:dyDescent="0.25">
      <c r="A659" t="s">
        <v>7</v>
      </c>
      <c r="B659" t="s">
        <v>12</v>
      </c>
      <c r="C659" s="1">
        <v>43561</v>
      </c>
      <c r="D659">
        <v>2019</v>
      </c>
      <c r="E659">
        <v>4</v>
      </c>
      <c r="F659">
        <v>0</v>
      </c>
      <c r="G659" t="s">
        <v>9</v>
      </c>
    </row>
    <row r="660" spans="1:7" x14ac:dyDescent="0.25">
      <c r="A660" t="s">
        <v>7</v>
      </c>
      <c r="B660" t="s">
        <v>12</v>
      </c>
      <c r="C660" s="1">
        <v>43567</v>
      </c>
      <c r="D660">
        <v>2019</v>
      </c>
      <c r="E660">
        <v>4</v>
      </c>
      <c r="F660">
        <v>6.0918302539999996</v>
      </c>
      <c r="G660" t="s">
        <v>9</v>
      </c>
    </row>
    <row r="661" spans="1:7" x14ac:dyDescent="0.25">
      <c r="A661" t="s">
        <v>7</v>
      </c>
      <c r="B661" t="s">
        <v>12</v>
      </c>
      <c r="C661" s="1">
        <v>43568</v>
      </c>
      <c r="D661">
        <v>2019</v>
      </c>
      <c r="E661">
        <v>4</v>
      </c>
      <c r="F661">
        <v>0</v>
      </c>
      <c r="G661" t="s">
        <v>9</v>
      </c>
    </row>
    <row r="662" spans="1:7" x14ac:dyDescent="0.25">
      <c r="A662" t="s">
        <v>7</v>
      </c>
      <c r="B662" t="s">
        <v>12</v>
      </c>
      <c r="C662" s="1">
        <v>43571</v>
      </c>
      <c r="D662">
        <v>2019</v>
      </c>
      <c r="E662">
        <v>4</v>
      </c>
      <c r="F662">
        <v>0</v>
      </c>
      <c r="G662" t="s">
        <v>9</v>
      </c>
    </row>
    <row r="663" spans="1:7" x14ac:dyDescent="0.25">
      <c r="A663" t="s">
        <v>7</v>
      </c>
      <c r="B663" t="s">
        <v>12</v>
      </c>
      <c r="C663" s="1">
        <v>43574</v>
      </c>
      <c r="D663">
        <v>2019</v>
      </c>
      <c r="E663">
        <v>4</v>
      </c>
      <c r="F663">
        <v>0.96280592700000001</v>
      </c>
      <c r="G663" t="s">
        <v>9</v>
      </c>
    </row>
    <row r="664" spans="1:7" x14ac:dyDescent="0.25">
      <c r="A664" t="s">
        <v>7</v>
      </c>
      <c r="B664" t="s">
        <v>12</v>
      </c>
      <c r="C664" s="1">
        <v>43586</v>
      </c>
      <c r="D664">
        <v>2019</v>
      </c>
      <c r="E664">
        <v>5</v>
      </c>
      <c r="F664">
        <v>3.8554334639999999</v>
      </c>
      <c r="G664" t="s">
        <v>9</v>
      </c>
    </row>
    <row r="665" spans="1:7" x14ac:dyDescent="0.25">
      <c r="A665" t="s">
        <v>7</v>
      </c>
      <c r="B665" t="s">
        <v>12</v>
      </c>
      <c r="C665" s="1">
        <v>43600</v>
      </c>
      <c r="D665">
        <v>2019</v>
      </c>
      <c r="E665">
        <v>5</v>
      </c>
      <c r="F665">
        <v>0</v>
      </c>
      <c r="G665" t="s">
        <v>9</v>
      </c>
    </row>
    <row r="666" spans="1:7" x14ac:dyDescent="0.25">
      <c r="A666" t="s">
        <v>7</v>
      </c>
      <c r="B666" t="s">
        <v>12</v>
      </c>
      <c r="C666" s="1">
        <v>43601</v>
      </c>
      <c r="D666">
        <v>2019</v>
      </c>
      <c r="E666">
        <v>5</v>
      </c>
      <c r="F666">
        <v>0</v>
      </c>
      <c r="G666" t="s">
        <v>9</v>
      </c>
    </row>
    <row r="667" spans="1:7" x14ac:dyDescent="0.25">
      <c r="A667" t="s">
        <v>7</v>
      </c>
      <c r="B667" t="s">
        <v>12</v>
      </c>
      <c r="C667" s="1">
        <v>43609</v>
      </c>
      <c r="D667">
        <v>2019</v>
      </c>
      <c r="E667">
        <v>5</v>
      </c>
      <c r="F667">
        <v>3.514517546</v>
      </c>
      <c r="G667" t="s">
        <v>9</v>
      </c>
    </row>
    <row r="668" spans="1:7" x14ac:dyDescent="0.25">
      <c r="A668" t="s">
        <v>7</v>
      </c>
      <c r="B668" t="s">
        <v>12</v>
      </c>
      <c r="C668" s="1">
        <v>43611</v>
      </c>
      <c r="D668">
        <v>2019</v>
      </c>
      <c r="E668">
        <v>5</v>
      </c>
      <c r="F668">
        <v>0</v>
      </c>
      <c r="G668" t="s">
        <v>9</v>
      </c>
    </row>
    <row r="669" spans="1:7" x14ac:dyDescent="0.25">
      <c r="A669" t="s">
        <v>7</v>
      </c>
      <c r="B669" t="s">
        <v>12</v>
      </c>
      <c r="C669" s="1">
        <v>43613</v>
      </c>
      <c r="D669">
        <v>2019</v>
      </c>
      <c r="E669">
        <v>5</v>
      </c>
      <c r="F669">
        <v>0</v>
      </c>
      <c r="G669" t="s">
        <v>9</v>
      </c>
    </row>
    <row r="670" spans="1:7" x14ac:dyDescent="0.25">
      <c r="A670" t="s">
        <v>7</v>
      </c>
      <c r="B670" t="s">
        <v>12</v>
      </c>
      <c r="C670" s="1">
        <v>43624</v>
      </c>
      <c r="D670">
        <v>2019</v>
      </c>
      <c r="E670">
        <v>6</v>
      </c>
      <c r="F670">
        <v>10.444726940000001</v>
      </c>
      <c r="G670" t="s">
        <v>9</v>
      </c>
    </row>
    <row r="671" spans="1:7" x14ac:dyDescent="0.25">
      <c r="A671" t="s">
        <v>7</v>
      </c>
      <c r="B671" t="s">
        <v>12</v>
      </c>
      <c r="C671" s="1">
        <v>43627</v>
      </c>
      <c r="D671">
        <v>2019</v>
      </c>
      <c r="E671">
        <v>6</v>
      </c>
      <c r="F671">
        <v>47.767658230000002</v>
      </c>
      <c r="G671" t="s">
        <v>9</v>
      </c>
    </row>
    <row r="672" spans="1:7" x14ac:dyDescent="0.25">
      <c r="A672" t="s">
        <v>7</v>
      </c>
      <c r="B672" t="s">
        <v>12</v>
      </c>
      <c r="C672" s="1">
        <v>43630</v>
      </c>
      <c r="D672">
        <v>2019</v>
      </c>
      <c r="E672">
        <v>6</v>
      </c>
      <c r="F672">
        <v>16.933237080000001</v>
      </c>
      <c r="G672" t="s">
        <v>9</v>
      </c>
    </row>
    <row r="673" spans="1:7" x14ac:dyDescent="0.25">
      <c r="A673" t="s">
        <v>7</v>
      </c>
      <c r="B673" t="s">
        <v>12</v>
      </c>
      <c r="C673" s="1">
        <v>43633</v>
      </c>
      <c r="D673">
        <v>2019</v>
      </c>
      <c r="E673">
        <v>6</v>
      </c>
      <c r="F673">
        <v>3.6947383880000002</v>
      </c>
      <c r="G673" t="s">
        <v>9</v>
      </c>
    </row>
    <row r="674" spans="1:7" x14ac:dyDescent="0.25">
      <c r="A674" t="s">
        <v>7</v>
      </c>
      <c r="B674" t="s">
        <v>12</v>
      </c>
      <c r="C674" s="1">
        <v>43635</v>
      </c>
      <c r="D674">
        <v>2019</v>
      </c>
      <c r="E674">
        <v>6</v>
      </c>
      <c r="F674">
        <v>67.600997919999998</v>
      </c>
      <c r="G674" t="s">
        <v>9</v>
      </c>
    </row>
    <row r="675" spans="1:7" x14ac:dyDescent="0.25">
      <c r="A675" t="s">
        <v>7</v>
      </c>
      <c r="B675" t="s">
        <v>12</v>
      </c>
      <c r="C675" s="1">
        <v>43639</v>
      </c>
      <c r="D675">
        <v>2019</v>
      </c>
      <c r="E675">
        <v>6</v>
      </c>
      <c r="F675">
        <v>13.85111809</v>
      </c>
      <c r="G675" t="s">
        <v>9</v>
      </c>
    </row>
    <row r="676" spans="1:7" x14ac:dyDescent="0.25">
      <c r="A676" t="s">
        <v>7</v>
      </c>
      <c r="B676" t="s">
        <v>12</v>
      </c>
      <c r="C676" s="1">
        <v>43640</v>
      </c>
      <c r="D676">
        <v>2019</v>
      </c>
      <c r="E676">
        <v>6</v>
      </c>
      <c r="F676">
        <v>30.345214840000001</v>
      </c>
      <c r="G676" t="s">
        <v>9</v>
      </c>
    </row>
    <row r="677" spans="1:7" x14ac:dyDescent="0.25">
      <c r="A677" t="s">
        <v>7</v>
      </c>
      <c r="B677" t="s">
        <v>12</v>
      </c>
      <c r="C677" s="1">
        <v>43641</v>
      </c>
      <c r="D677">
        <v>2019</v>
      </c>
      <c r="E677">
        <v>6</v>
      </c>
      <c r="F677">
        <v>12.18718052</v>
      </c>
      <c r="G677" t="s">
        <v>9</v>
      </c>
    </row>
    <row r="678" spans="1:7" x14ac:dyDescent="0.25">
      <c r="A678" t="s">
        <v>7</v>
      </c>
      <c r="B678" t="s">
        <v>12</v>
      </c>
      <c r="C678" s="1">
        <v>43642</v>
      </c>
      <c r="D678">
        <v>2019</v>
      </c>
      <c r="E678">
        <v>6</v>
      </c>
      <c r="F678">
        <v>34.952636720000001</v>
      </c>
      <c r="G678" t="s">
        <v>9</v>
      </c>
    </row>
    <row r="679" spans="1:7" x14ac:dyDescent="0.25">
      <c r="A679" t="s">
        <v>7</v>
      </c>
      <c r="B679" t="s">
        <v>12</v>
      </c>
      <c r="C679" s="1">
        <v>43649</v>
      </c>
      <c r="D679">
        <v>2019</v>
      </c>
      <c r="E679">
        <v>7</v>
      </c>
      <c r="F679">
        <v>6.2471084589999997</v>
      </c>
      <c r="G679" t="s">
        <v>9</v>
      </c>
    </row>
    <row r="680" spans="1:7" x14ac:dyDescent="0.25">
      <c r="A680" t="s">
        <v>7</v>
      </c>
      <c r="B680" t="s">
        <v>12</v>
      </c>
      <c r="C680" s="1">
        <v>43651</v>
      </c>
      <c r="D680">
        <v>2019</v>
      </c>
      <c r="E680">
        <v>7</v>
      </c>
      <c r="F680">
        <v>29.990255359999999</v>
      </c>
      <c r="G680" t="s">
        <v>9</v>
      </c>
    </row>
    <row r="681" spans="1:7" x14ac:dyDescent="0.25">
      <c r="A681" t="s">
        <v>7</v>
      </c>
      <c r="B681" t="s">
        <v>12</v>
      </c>
      <c r="C681" s="1">
        <v>43653</v>
      </c>
      <c r="D681">
        <v>2019</v>
      </c>
      <c r="E681">
        <v>7</v>
      </c>
      <c r="F681">
        <v>19.887001040000001</v>
      </c>
      <c r="G681" t="s">
        <v>9</v>
      </c>
    </row>
    <row r="682" spans="1:7" x14ac:dyDescent="0.25">
      <c r="A682" t="s">
        <v>7</v>
      </c>
      <c r="B682" t="s">
        <v>12</v>
      </c>
      <c r="C682" s="1">
        <v>43656</v>
      </c>
      <c r="D682">
        <v>2019</v>
      </c>
      <c r="E682">
        <v>7</v>
      </c>
      <c r="F682">
        <v>51.642444609999998</v>
      </c>
      <c r="G682" t="s">
        <v>9</v>
      </c>
    </row>
    <row r="683" spans="1:7" x14ac:dyDescent="0.25">
      <c r="A683" t="s">
        <v>7</v>
      </c>
      <c r="B683" t="s">
        <v>12</v>
      </c>
      <c r="C683" s="1">
        <v>43659</v>
      </c>
      <c r="D683">
        <v>2019</v>
      </c>
      <c r="E683">
        <v>7</v>
      </c>
      <c r="F683">
        <v>1.574552894</v>
      </c>
      <c r="G683" t="s">
        <v>9</v>
      </c>
    </row>
    <row r="684" spans="1:7" x14ac:dyDescent="0.25">
      <c r="A684" t="s">
        <v>7</v>
      </c>
      <c r="B684" t="s">
        <v>12</v>
      </c>
      <c r="C684" s="1">
        <v>43661</v>
      </c>
      <c r="D684">
        <v>2019</v>
      </c>
      <c r="E684">
        <v>7</v>
      </c>
      <c r="F684">
        <v>22.203765870000002</v>
      </c>
      <c r="G684" t="s">
        <v>9</v>
      </c>
    </row>
    <row r="685" spans="1:7" x14ac:dyDescent="0.25">
      <c r="A685" t="s">
        <v>7</v>
      </c>
      <c r="B685" t="s">
        <v>12</v>
      </c>
      <c r="C685" s="1">
        <v>43663</v>
      </c>
      <c r="D685">
        <v>2019</v>
      </c>
      <c r="E685">
        <v>7</v>
      </c>
      <c r="F685">
        <v>23.346561430000001</v>
      </c>
      <c r="G685" t="s">
        <v>9</v>
      </c>
    </row>
    <row r="686" spans="1:7" x14ac:dyDescent="0.25">
      <c r="A686" t="s">
        <v>7</v>
      </c>
      <c r="B686" t="s">
        <v>12</v>
      </c>
      <c r="C686" s="1">
        <v>43664</v>
      </c>
      <c r="D686">
        <v>2019</v>
      </c>
      <c r="E686">
        <v>7</v>
      </c>
      <c r="F686">
        <v>0.54784315800000005</v>
      </c>
      <c r="G686" t="s">
        <v>9</v>
      </c>
    </row>
    <row r="687" spans="1:7" x14ac:dyDescent="0.25">
      <c r="A687" t="s">
        <v>7</v>
      </c>
      <c r="B687" t="s">
        <v>12</v>
      </c>
      <c r="C687" s="1">
        <v>43667</v>
      </c>
      <c r="D687">
        <v>2019</v>
      </c>
      <c r="E687">
        <v>7</v>
      </c>
      <c r="F687">
        <v>115.71257780000001</v>
      </c>
      <c r="G687" t="s">
        <v>9</v>
      </c>
    </row>
    <row r="688" spans="1:7" x14ac:dyDescent="0.25">
      <c r="A688" t="s">
        <v>7</v>
      </c>
      <c r="B688" t="s">
        <v>12</v>
      </c>
      <c r="C688" s="1">
        <v>43672</v>
      </c>
      <c r="D688">
        <v>2019</v>
      </c>
      <c r="E688">
        <v>7</v>
      </c>
      <c r="F688">
        <v>32.966636659999999</v>
      </c>
      <c r="G688" t="s">
        <v>9</v>
      </c>
    </row>
    <row r="689" spans="1:7" x14ac:dyDescent="0.25">
      <c r="A689" t="s">
        <v>7</v>
      </c>
      <c r="B689" t="s">
        <v>12</v>
      </c>
      <c r="C689" s="1">
        <v>43674</v>
      </c>
      <c r="D689">
        <v>2019</v>
      </c>
      <c r="E689">
        <v>7</v>
      </c>
      <c r="F689">
        <v>0.93720465900000005</v>
      </c>
      <c r="G689" t="s">
        <v>9</v>
      </c>
    </row>
    <row r="690" spans="1:7" x14ac:dyDescent="0.25">
      <c r="A690" t="s">
        <v>7</v>
      </c>
      <c r="B690" t="s">
        <v>12</v>
      </c>
      <c r="C690" s="1">
        <v>43687</v>
      </c>
      <c r="D690">
        <v>2019</v>
      </c>
      <c r="E690">
        <v>8</v>
      </c>
      <c r="F690">
        <v>215.62184139999999</v>
      </c>
      <c r="G690" t="s">
        <v>9</v>
      </c>
    </row>
    <row r="691" spans="1:7" x14ac:dyDescent="0.25">
      <c r="A691" t="s">
        <v>7</v>
      </c>
      <c r="B691" t="s">
        <v>12</v>
      </c>
      <c r="C691" s="1">
        <v>43695</v>
      </c>
      <c r="D691">
        <v>2019</v>
      </c>
      <c r="E691">
        <v>8</v>
      </c>
      <c r="F691">
        <v>0.70290350899999998</v>
      </c>
      <c r="G691" t="s">
        <v>9</v>
      </c>
    </row>
    <row r="692" spans="1:7" x14ac:dyDescent="0.25">
      <c r="A692" t="s">
        <v>7</v>
      </c>
      <c r="B692" t="s">
        <v>12</v>
      </c>
      <c r="C692" s="1">
        <v>43697</v>
      </c>
      <c r="D692">
        <v>2019</v>
      </c>
      <c r="E692">
        <v>8</v>
      </c>
      <c r="F692">
        <v>1.2610108849999999</v>
      </c>
      <c r="G692" t="s">
        <v>9</v>
      </c>
    </row>
    <row r="693" spans="1:7" x14ac:dyDescent="0.25">
      <c r="A693" t="s">
        <v>7</v>
      </c>
      <c r="B693" t="s">
        <v>12</v>
      </c>
      <c r="C693" s="1">
        <v>43704</v>
      </c>
      <c r="D693">
        <v>2019</v>
      </c>
      <c r="E693">
        <v>8</v>
      </c>
      <c r="F693">
        <v>56.199306489999998</v>
      </c>
      <c r="G693" t="s">
        <v>9</v>
      </c>
    </row>
    <row r="694" spans="1:7" x14ac:dyDescent="0.25">
      <c r="A694" t="s">
        <v>7</v>
      </c>
      <c r="B694" t="s">
        <v>12</v>
      </c>
      <c r="C694" s="1">
        <v>43712</v>
      </c>
      <c r="D694">
        <v>2019</v>
      </c>
      <c r="E694">
        <v>9</v>
      </c>
      <c r="F694">
        <v>52.917446140000003</v>
      </c>
      <c r="G694" t="s">
        <v>9</v>
      </c>
    </row>
    <row r="695" spans="1:7" x14ac:dyDescent="0.25">
      <c r="A695" t="s">
        <v>7</v>
      </c>
      <c r="B695" t="s">
        <v>12</v>
      </c>
      <c r="C695" s="1">
        <v>43719</v>
      </c>
      <c r="D695">
        <v>2019</v>
      </c>
      <c r="E695">
        <v>9</v>
      </c>
      <c r="F695">
        <v>19.777404789999999</v>
      </c>
      <c r="G695" t="s">
        <v>9</v>
      </c>
    </row>
    <row r="696" spans="1:7" x14ac:dyDescent="0.25">
      <c r="A696" t="s">
        <v>7</v>
      </c>
      <c r="B696" t="s">
        <v>12</v>
      </c>
      <c r="C696" s="1">
        <v>43720</v>
      </c>
      <c r="D696">
        <v>2019</v>
      </c>
      <c r="E696">
        <v>9</v>
      </c>
      <c r="F696">
        <v>47.761348720000001</v>
      </c>
      <c r="G696" t="s">
        <v>9</v>
      </c>
    </row>
    <row r="697" spans="1:7" x14ac:dyDescent="0.25">
      <c r="A697" t="s">
        <v>7</v>
      </c>
      <c r="B697" t="s">
        <v>12</v>
      </c>
      <c r="C697" s="1">
        <v>43724</v>
      </c>
      <c r="D697">
        <v>2019</v>
      </c>
      <c r="E697">
        <v>9</v>
      </c>
      <c r="F697">
        <v>4.0052962299999999</v>
      </c>
      <c r="G697" t="s">
        <v>9</v>
      </c>
    </row>
    <row r="698" spans="1:7" x14ac:dyDescent="0.25">
      <c r="A698" t="s">
        <v>7</v>
      </c>
      <c r="B698" t="s">
        <v>12</v>
      </c>
      <c r="C698" s="1">
        <v>43726</v>
      </c>
      <c r="D698">
        <v>2019</v>
      </c>
      <c r="E698">
        <v>9</v>
      </c>
      <c r="F698">
        <v>0.23430116500000001</v>
      </c>
      <c r="G698" t="s">
        <v>9</v>
      </c>
    </row>
    <row r="699" spans="1:7" x14ac:dyDescent="0.25">
      <c r="A699" t="s">
        <v>7</v>
      </c>
      <c r="B699" t="s">
        <v>12</v>
      </c>
      <c r="C699" s="1">
        <v>43727</v>
      </c>
      <c r="D699">
        <v>2019</v>
      </c>
      <c r="E699">
        <v>9</v>
      </c>
      <c r="F699">
        <v>16.021839140000001</v>
      </c>
      <c r="G699" t="s">
        <v>9</v>
      </c>
    </row>
    <row r="700" spans="1:7" x14ac:dyDescent="0.25">
      <c r="A700" t="s">
        <v>7</v>
      </c>
      <c r="B700" t="s">
        <v>12</v>
      </c>
      <c r="C700" s="1">
        <v>43731</v>
      </c>
      <c r="D700">
        <v>2019</v>
      </c>
      <c r="E700">
        <v>9</v>
      </c>
      <c r="F700">
        <v>0</v>
      </c>
      <c r="G700" t="s">
        <v>9</v>
      </c>
    </row>
    <row r="701" spans="1:7" x14ac:dyDescent="0.25">
      <c r="A701" t="s">
        <v>7</v>
      </c>
      <c r="B701" t="s">
        <v>12</v>
      </c>
      <c r="C701" s="1">
        <v>43733</v>
      </c>
      <c r="D701">
        <v>2019</v>
      </c>
      <c r="E701">
        <v>9</v>
      </c>
      <c r="F701">
        <v>57.993038179999999</v>
      </c>
      <c r="G701" t="s">
        <v>9</v>
      </c>
    </row>
    <row r="702" spans="1:7" x14ac:dyDescent="0.25">
      <c r="A702" t="s">
        <v>7</v>
      </c>
      <c r="B702" t="s">
        <v>12</v>
      </c>
      <c r="C702" s="1">
        <v>43744</v>
      </c>
      <c r="D702">
        <v>2019</v>
      </c>
      <c r="E702">
        <v>10</v>
      </c>
      <c r="F702">
        <v>8.9391689299999992</v>
      </c>
      <c r="G702" t="s">
        <v>9</v>
      </c>
    </row>
    <row r="703" spans="1:7" x14ac:dyDescent="0.25">
      <c r="A703" t="s">
        <v>7</v>
      </c>
      <c r="B703" t="s">
        <v>12</v>
      </c>
      <c r="C703" s="1">
        <v>43753</v>
      </c>
      <c r="D703">
        <v>2019</v>
      </c>
      <c r="E703">
        <v>10</v>
      </c>
      <c r="F703">
        <v>0</v>
      </c>
      <c r="G703" t="s">
        <v>9</v>
      </c>
    </row>
    <row r="704" spans="1:7" x14ac:dyDescent="0.25">
      <c r="A704" t="s">
        <v>7</v>
      </c>
      <c r="B704" t="s">
        <v>12</v>
      </c>
      <c r="C704" s="1">
        <v>43761</v>
      </c>
      <c r="D704">
        <v>2019</v>
      </c>
      <c r="E704">
        <v>10</v>
      </c>
      <c r="F704">
        <v>8.4118776319999995</v>
      </c>
      <c r="G704" t="s">
        <v>9</v>
      </c>
    </row>
    <row r="705" spans="1:7" x14ac:dyDescent="0.25">
      <c r="A705" t="s">
        <v>7</v>
      </c>
      <c r="B705" t="s">
        <v>12</v>
      </c>
      <c r="C705" s="1">
        <v>43763</v>
      </c>
      <c r="D705">
        <v>2019</v>
      </c>
      <c r="E705">
        <v>10</v>
      </c>
      <c r="F705">
        <v>37.833240510000003</v>
      </c>
      <c r="G705" t="s">
        <v>9</v>
      </c>
    </row>
    <row r="706" spans="1:7" x14ac:dyDescent="0.25">
      <c r="A706" t="s">
        <v>7</v>
      </c>
      <c r="B706" t="s">
        <v>12</v>
      </c>
      <c r="C706" s="1">
        <v>43777</v>
      </c>
      <c r="D706">
        <v>2019</v>
      </c>
      <c r="E706">
        <v>11</v>
      </c>
      <c r="F706">
        <v>0</v>
      </c>
      <c r="G706" t="s">
        <v>9</v>
      </c>
    </row>
    <row r="707" spans="1:7" x14ac:dyDescent="0.25">
      <c r="A707" t="s">
        <v>7</v>
      </c>
      <c r="B707" t="s">
        <v>12</v>
      </c>
      <c r="C707" s="1">
        <v>43782</v>
      </c>
      <c r="D707">
        <v>2019</v>
      </c>
      <c r="E707">
        <v>11</v>
      </c>
      <c r="F707">
        <v>0</v>
      </c>
      <c r="G707" t="s">
        <v>9</v>
      </c>
    </row>
    <row r="708" spans="1:7" x14ac:dyDescent="0.25">
      <c r="A708" t="s">
        <v>7</v>
      </c>
      <c r="B708" t="s">
        <v>12</v>
      </c>
      <c r="C708" s="1">
        <v>43788</v>
      </c>
      <c r="D708">
        <v>2019</v>
      </c>
      <c r="E708">
        <v>11</v>
      </c>
      <c r="F708">
        <v>3.2887721060000001</v>
      </c>
      <c r="G708" t="s">
        <v>9</v>
      </c>
    </row>
    <row r="709" spans="1:7" x14ac:dyDescent="0.25">
      <c r="A709" t="s">
        <v>7</v>
      </c>
      <c r="B709" t="s">
        <v>12</v>
      </c>
      <c r="C709" s="1">
        <v>43801</v>
      </c>
      <c r="D709">
        <v>2019</v>
      </c>
      <c r="E709">
        <v>12</v>
      </c>
      <c r="F709">
        <v>15.790308</v>
      </c>
      <c r="G709" t="s">
        <v>9</v>
      </c>
    </row>
    <row r="710" spans="1:7" x14ac:dyDescent="0.25">
      <c r="A710" t="s">
        <v>7</v>
      </c>
      <c r="B710" t="s">
        <v>12</v>
      </c>
      <c r="C710" s="1">
        <v>43802</v>
      </c>
      <c r="D710">
        <v>2019</v>
      </c>
      <c r="E710">
        <v>12</v>
      </c>
      <c r="F710">
        <v>15.83106422</v>
      </c>
      <c r="G710" t="s">
        <v>9</v>
      </c>
    </row>
    <row r="711" spans="1:7" x14ac:dyDescent="0.25">
      <c r="A711" t="s">
        <v>7</v>
      </c>
      <c r="B711" t="s">
        <v>12</v>
      </c>
      <c r="C711" s="1">
        <v>43803</v>
      </c>
      <c r="D711">
        <v>2019</v>
      </c>
      <c r="E711">
        <v>12</v>
      </c>
      <c r="F711">
        <v>0</v>
      </c>
      <c r="G711" t="s">
        <v>9</v>
      </c>
    </row>
    <row r="712" spans="1:7" x14ac:dyDescent="0.25">
      <c r="A712" t="s">
        <v>7</v>
      </c>
      <c r="B712" t="s">
        <v>12</v>
      </c>
      <c r="C712" s="1">
        <v>43807</v>
      </c>
      <c r="D712">
        <v>2019</v>
      </c>
      <c r="E712">
        <v>12</v>
      </c>
      <c r="F712">
        <v>0</v>
      </c>
      <c r="G712" t="s">
        <v>9</v>
      </c>
    </row>
    <row r="713" spans="1:7" x14ac:dyDescent="0.25">
      <c r="A713" t="s">
        <v>7</v>
      </c>
      <c r="B713" t="s">
        <v>12</v>
      </c>
      <c r="C713" s="1">
        <v>43808</v>
      </c>
      <c r="D713">
        <v>2019</v>
      </c>
      <c r="E713">
        <v>12</v>
      </c>
      <c r="F713">
        <v>0</v>
      </c>
      <c r="G713" t="s">
        <v>9</v>
      </c>
    </row>
    <row r="714" spans="1:7" x14ac:dyDescent="0.25">
      <c r="A714" t="s">
        <v>7</v>
      </c>
      <c r="B714" t="s">
        <v>12</v>
      </c>
      <c r="C714" s="1">
        <v>43806</v>
      </c>
      <c r="D714">
        <v>2019</v>
      </c>
      <c r="E714">
        <v>12</v>
      </c>
      <c r="F714">
        <v>0</v>
      </c>
      <c r="G714" t="s">
        <v>9</v>
      </c>
    </row>
    <row r="715" spans="1:7" x14ac:dyDescent="0.25">
      <c r="A715" t="s">
        <v>7</v>
      </c>
      <c r="B715" t="s">
        <v>12</v>
      </c>
      <c r="C715" s="1">
        <v>43824</v>
      </c>
      <c r="D715">
        <v>2019</v>
      </c>
      <c r="E715">
        <v>12</v>
      </c>
      <c r="F715">
        <v>0</v>
      </c>
      <c r="G715" t="s">
        <v>9</v>
      </c>
    </row>
    <row r="716" spans="1:7" x14ac:dyDescent="0.25">
      <c r="A716" t="s">
        <v>7</v>
      </c>
      <c r="B716" t="s">
        <v>12</v>
      </c>
      <c r="C716" s="1">
        <v>43825</v>
      </c>
      <c r="D716">
        <v>2019</v>
      </c>
      <c r="E716">
        <v>12</v>
      </c>
      <c r="F716">
        <v>6.5805044170000002</v>
      </c>
      <c r="G716" t="s">
        <v>9</v>
      </c>
    </row>
    <row r="717" spans="1:7" x14ac:dyDescent="0.25">
      <c r="A717" t="s">
        <v>7</v>
      </c>
      <c r="B717" t="s">
        <v>12</v>
      </c>
      <c r="C717" s="1">
        <v>43827</v>
      </c>
      <c r="D717">
        <v>2019</v>
      </c>
      <c r="E717">
        <v>12</v>
      </c>
      <c r="F717">
        <v>0</v>
      </c>
      <c r="G717" t="s">
        <v>9</v>
      </c>
    </row>
    <row r="718" spans="1:7" x14ac:dyDescent="0.25">
      <c r="A718" t="s">
        <v>7</v>
      </c>
      <c r="B718" t="s">
        <v>8</v>
      </c>
      <c r="C718" s="1">
        <v>43469</v>
      </c>
      <c r="D718">
        <v>2019</v>
      </c>
      <c r="E718">
        <v>1</v>
      </c>
      <c r="F718">
        <v>0</v>
      </c>
      <c r="G718" t="s">
        <v>9</v>
      </c>
    </row>
    <row r="719" spans="1:7" x14ac:dyDescent="0.25">
      <c r="A719" t="s">
        <v>7</v>
      </c>
      <c r="B719" t="s">
        <v>8</v>
      </c>
      <c r="C719" s="1">
        <v>43475</v>
      </c>
      <c r="D719">
        <v>2019</v>
      </c>
      <c r="E719">
        <v>1</v>
      </c>
      <c r="F719">
        <v>0</v>
      </c>
      <c r="G719" t="s">
        <v>9</v>
      </c>
    </row>
    <row r="720" spans="1:7" x14ac:dyDescent="0.25">
      <c r="A720" t="s">
        <v>7</v>
      </c>
      <c r="B720" t="s">
        <v>8</v>
      </c>
      <c r="C720" s="1">
        <v>43477</v>
      </c>
      <c r="D720">
        <v>2019</v>
      </c>
      <c r="E720">
        <v>1</v>
      </c>
      <c r="F720">
        <v>0</v>
      </c>
      <c r="G720" t="s">
        <v>9</v>
      </c>
    </row>
    <row r="721" spans="1:7" x14ac:dyDescent="0.25">
      <c r="A721" t="s">
        <v>7</v>
      </c>
      <c r="B721" t="s">
        <v>8</v>
      </c>
      <c r="C721" s="1">
        <v>43478</v>
      </c>
      <c r="D721">
        <v>2019</v>
      </c>
      <c r="E721">
        <v>1</v>
      </c>
      <c r="F721">
        <v>0</v>
      </c>
      <c r="G721" t="s">
        <v>9</v>
      </c>
    </row>
    <row r="722" spans="1:7" x14ac:dyDescent="0.25">
      <c r="A722" t="s">
        <v>7</v>
      </c>
      <c r="B722" t="s">
        <v>8</v>
      </c>
      <c r="C722" s="1">
        <v>43479</v>
      </c>
      <c r="D722">
        <v>2019</v>
      </c>
      <c r="E722">
        <v>1</v>
      </c>
      <c r="F722">
        <v>0</v>
      </c>
      <c r="G722" t="s">
        <v>9</v>
      </c>
    </row>
    <row r="723" spans="1:7" x14ac:dyDescent="0.25">
      <c r="A723" t="s">
        <v>7</v>
      </c>
      <c r="B723" t="s">
        <v>8</v>
      </c>
      <c r="C723" s="1">
        <v>43480</v>
      </c>
      <c r="D723">
        <v>2019</v>
      </c>
      <c r="E723">
        <v>1</v>
      </c>
      <c r="F723">
        <v>0</v>
      </c>
      <c r="G723" t="s">
        <v>9</v>
      </c>
    </row>
    <row r="724" spans="1:7" x14ac:dyDescent="0.25">
      <c r="A724" t="s">
        <v>7</v>
      </c>
      <c r="B724" t="s">
        <v>8</v>
      </c>
      <c r="C724" s="1">
        <v>43491</v>
      </c>
      <c r="D724">
        <v>2019</v>
      </c>
      <c r="E724">
        <v>1</v>
      </c>
      <c r="F724">
        <v>0</v>
      </c>
      <c r="G724" t="s">
        <v>9</v>
      </c>
    </row>
    <row r="725" spans="1:7" x14ac:dyDescent="0.25">
      <c r="A725" t="s">
        <v>7</v>
      </c>
      <c r="B725" t="s">
        <v>8</v>
      </c>
      <c r="C725" s="1">
        <v>43492</v>
      </c>
      <c r="D725">
        <v>2019</v>
      </c>
      <c r="E725">
        <v>1</v>
      </c>
      <c r="F725">
        <v>0</v>
      </c>
      <c r="G725" t="s">
        <v>9</v>
      </c>
    </row>
    <row r="726" spans="1:7" x14ac:dyDescent="0.25">
      <c r="A726" t="s">
        <v>7</v>
      </c>
      <c r="B726" t="s">
        <v>8</v>
      </c>
      <c r="C726" s="1">
        <v>43495</v>
      </c>
      <c r="D726">
        <v>2019</v>
      </c>
      <c r="E726">
        <v>1</v>
      </c>
      <c r="F726">
        <v>0.34661178999999998</v>
      </c>
      <c r="G726" t="s">
        <v>9</v>
      </c>
    </row>
    <row r="727" spans="1:7" x14ac:dyDescent="0.25">
      <c r="A727" t="s">
        <v>7</v>
      </c>
      <c r="B727" t="s">
        <v>8</v>
      </c>
      <c r="C727" s="1">
        <v>43498</v>
      </c>
      <c r="D727">
        <v>2019</v>
      </c>
      <c r="E727">
        <v>2</v>
      </c>
      <c r="F727">
        <v>0</v>
      </c>
      <c r="G727" t="s">
        <v>9</v>
      </c>
    </row>
    <row r="728" spans="1:7" x14ac:dyDescent="0.25">
      <c r="A728" t="s">
        <v>7</v>
      </c>
      <c r="B728" t="s">
        <v>8</v>
      </c>
      <c r="C728" s="1">
        <v>43501</v>
      </c>
      <c r="D728">
        <v>2019</v>
      </c>
      <c r="E728">
        <v>2</v>
      </c>
      <c r="F728">
        <v>0</v>
      </c>
      <c r="G728" t="s">
        <v>9</v>
      </c>
    </row>
    <row r="729" spans="1:7" x14ac:dyDescent="0.25">
      <c r="A729" t="s">
        <v>7</v>
      </c>
      <c r="B729" t="s">
        <v>8</v>
      </c>
      <c r="C729" s="1">
        <v>43502</v>
      </c>
      <c r="D729">
        <v>2019</v>
      </c>
      <c r="E729">
        <v>2</v>
      </c>
      <c r="F729">
        <v>0</v>
      </c>
      <c r="G729" t="s">
        <v>9</v>
      </c>
    </row>
    <row r="730" spans="1:7" x14ac:dyDescent="0.25">
      <c r="A730" t="s">
        <v>7</v>
      </c>
      <c r="B730" t="s">
        <v>8</v>
      </c>
      <c r="C730" s="1">
        <v>43505</v>
      </c>
      <c r="D730">
        <v>2019</v>
      </c>
      <c r="E730">
        <v>2</v>
      </c>
      <c r="F730">
        <v>0</v>
      </c>
      <c r="G730" t="s">
        <v>9</v>
      </c>
    </row>
    <row r="731" spans="1:7" x14ac:dyDescent="0.25">
      <c r="A731" t="s">
        <v>7</v>
      </c>
      <c r="B731" t="s">
        <v>8</v>
      </c>
      <c r="C731" s="1">
        <v>43510</v>
      </c>
      <c r="D731">
        <v>2019</v>
      </c>
      <c r="E731">
        <v>2</v>
      </c>
      <c r="F731">
        <v>0</v>
      </c>
      <c r="G731" t="s">
        <v>9</v>
      </c>
    </row>
    <row r="732" spans="1:7" x14ac:dyDescent="0.25">
      <c r="A732" t="s">
        <v>7</v>
      </c>
      <c r="B732" t="s">
        <v>8</v>
      </c>
      <c r="C732" s="1">
        <v>43511</v>
      </c>
      <c r="D732">
        <v>2019</v>
      </c>
      <c r="E732">
        <v>2</v>
      </c>
      <c r="F732">
        <v>0</v>
      </c>
      <c r="G732" t="s">
        <v>9</v>
      </c>
    </row>
    <row r="733" spans="1:7" x14ac:dyDescent="0.25">
      <c r="A733" t="s">
        <v>7</v>
      </c>
      <c r="B733" t="s">
        <v>8</v>
      </c>
      <c r="C733" s="1">
        <v>43513</v>
      </c>
      <c r="D733">
        <v>2019</v>
      </c>
      <c r="E733">
        <v>2</v>
      </c>
      <c r="F733">
        <v>0</v>
      </c>
      <c r="G733" t="s">
        <v>9</v>
      </c>
    </row>
    <row r="734" spans="1:7" x14ac:dyDescent="0.25">
      <c r="A734" t="s">
        <v>7</v>
      </c>
      <c r="B734" t="s">
        <v>8</v>
      </c>
      <c r="C734" s="1">
        <v>43514</v>
      </c>
      <c r="D734">
        <v>2019</v>
      </c>
      <c r="E734">
        <v>2</v>
      </c>
      <c r="F734">
        <v>0</v>
      </c>
      <c r="G734" t="s">
        <v>9</v>
      </c>
    </row>
    <row r="735" spans="1:7" x14ac:dyDescent="0.25">
      <c r="A735" t="s">
        <v>7</v>
      </c>
      <c r="B735" t="s">
        <v>8</v>
      </c>
      <c r="C735" s="1">
        <v>43515</v>
      </c>
      <c r="D735">
        <v>2019</v>
      </c>
      <c r="E735">
        <v>2</v>
      </c>
      <c r="F735">
        <v>0</v>
      </c>
      <c r="G735" t="s">
        <v>9</v>
      </c>
    </row>
    <row r="736" spans="1:7" x14ac:dyDescent="0.25">
      <c r="A736" t="s">
        <v>7</v>
      </c>
      <c r="B736" t="s">
        <v>8</v>
      </c>
      <c r="C736" s="1">
        <v>43520</v>
      </c>
      <c r="D736">
        <v>2019</v>
      </c>
      <c r="E736">
        <v>2</v>
      </c>
      <c r="F736">
        <v>0</v>
      </c>
      <c r="G736" t="s">
        <v>9</v>
      </c>
    </row>
    <row r="737" spans="1:7" x14ac:dyDescent="0.25">
      <c r="A737" t="s">
        <v>7</v>
      </c>
      <c r="B737" t="s">
        <v>8</v>
      </c>
      <c r="C737" s="1">
        <v>43521</v>
      </c>
      <c r="D737">
        <v>2019</v>
      </c>
      <c r="E737">
        <v>2</v>
      </c>
      <c r="F737">
        <v>0</v>
      </c>
      <c r="G737" t="s">
        <v>9</v>
      </c>
    </row>
    <row r="738" spans="1:7" x14ac:dyDescent="0.25">
      <c r="A738" t="s">
        <v>7</v>
      </c>
      <c r="B738" t="s">
        <v>8</v>
      </c>
      <c r="C738" s="1">
        <v>43526</v>
      </c>
      <c r="D738">
        <v>2019</v>
      </c>
      <c r="E738">
        <v>3</v>
      </c>
      <c r="F738">
        <v>0</v>
      </c>
      <c r="G738" t="s">
        <v>9</v>
      </c>
    </row>
    <row r="739" spans="1:7" x14ac:dyDescent="0.25">
      <c r="A739" t="s">
        <v>7</v>
      </c>
      <c r="B739" t="s">
        <v>8</v>
      </c>
      <c r="C739" s="1">
        <v>43528</v>
      </c>
      <c r="D739">
        <v>2019</v>
      </c>
      <c r="E739">
        <v>3</v>
      </c>
      <c r="F739">
        <v>0</v>
      </c>
      <c r="G739" t="s">
        <v>9</v>
      </c>
    </row>
    <row r="740" spans="1:7" x14ac:dyDescent="0.25">
      <c r="A740" t="s">
        <v>7</v>
      </c>
      <c r="B740" t="s">
        <v>8</v>
      </c>
      <c r="C740" s="1">
        <v>43530</v>
      </c>
      <c r="D740">
        <v>2019</v>
      </c>
      <c r="E740">
        <v>3</v>
      </c>
      <c r="F740">
        <v>0</v>
      </c>
      <c r="G740" t="s">
        <v>9</v>
      </c>
    </row>
    <row r="741" spans="1:7" x14ac:dyDescent="0.25">
      <c r="A741" t="s">
        <v>7</v>
      </c>
      <c r="B741" t="s">
        <v>8</v>
      </c>
      <c r="C741" s="1">
        <v>43535</v>
      </c>
      <c r="D741">
        <v>2019</v>
      </c>
      <c r="E741">
        <v>3</v>
      </c>
      <c r="F741">
        <v>0</v>
      </c>
      <c r="G741" t="s">
        <v>9</v>
      </c>
    </row>
    <row r="742" spans="1:7" x14ac:dyDescent="0.25">
      <c r="A742" t="s">
        <v>7</v>
      </c>
      <c r="B742" t="s">
        <v>8</v>
      </c>
      <c r="C742" s="1">
        <v>43541</v>
      </c>
      <c r="D742">
        <v>2019</v>
      </c>
      <c r="E742">
        <v>3</v>
      </c>
      <c r="F742">
        <v>0</v>
      </c>
      <c r="G742" t="s">
        <v>9</v>
      </c>
    </row>
    <row r="743" spans="1:7" x14ac:dyDescent="0.25">
      <c r="A743" t="s">
        <v>7</v>
      </c>
      <c r="B743" t="s">
        <v>8</v>
      </c>
      <c r="C743" s="1">
        <v>43543</v>
      </c>
      <c r="D743">
        <v>2019</v>
      </c>
      <c r="E743">
        <v>3</v>
      </c>
      <c r="F743">
        <v>0</v>
      </c>
      <c r="G743" t="s">
        <v>9</v>
      </c>
    </row>
    <row r="744" spans="1:7" x14ac:dyDescent="0.25">
      <c r="A744" t="s">
        <v>7</v>
      </c>
      <c r="B744" t="s">
        <v>8</v>
      </c>
      <c r="C744" s="1">
        <v>43548</v>
      </c>
      <c r="D744">
        <v>2019</v>
      </c>
      <c r="E744">
        <v>3</v>
      </c>
      <c r="F744">
        <v>0</v>
      </c>
      <c r="G744" t="s">
        <v>9</v>
      </c>
    </row>
    <row r="745" spans="1:7" x14ac:dyDescent="0.25">
      <c r="A745" t="s">
        <v>7</v>
      </c>
      <c r="B745" t="s">
        <v>8</v>
      </c>
      <c r="C745" s="1">
        <v>43552</v>
      </c>
      <c r="D745">
        <v>2019</v>
      </c>
      <c r="E745">
        <v>3</v>
      </c>
      <c r="F745">
        <v>0</v>
      </c>
      <c r="G745" t="s">
        <v>9</v>
      </c>
    </row>
    <row r="746" spans="1:7" x14ac:dyDescent="0.25">
      <c r="A746" t="s">
        <v>7</v>
      </c>
      <c r="B746" t="s">
        <v>8</v>
      </c>
      <c r="C746" s="1">
        <v>43556</v>
      </c>
      <c r="D746">
        <v>2019</v>
      </c>
      <c r="E746">
        <v>4</v>
      </c>
      <c r="F746">
        <v>0</v>
      </c>
      <c r="G746" t="s">
        <v>9</v>
      </c>
    </row>
    <row r="747" spans="1:7" x14ac:dyDescent="0.25">
      <c r="A747" t="s">
        <v>7</v>
      </c>
      <c r="B747" t="s">
        <v>8</v>
      </c>
      <c r="C747" s="1">
        <v>43562</v>
      </c>
      <c r="D747">
        <v>2019</v>
      </c>
      <c r="E747">
        <v>4</v>
      </c>
      <c r="F747">
        <v>0</v>
      </c>
      <c r="G747" t="s">
        <v>9</v>
      </c>
    </row>
    <row r="748" spans="1:7" x14ac:dyDescent="0.25">
      <c r="A748" t="s">
        <v>7</v>
      </c>
      <c r="B748" t="s">
        <v>8</v>
      </c>
      <c r="C748" s="1">
        <v>43570</v>
      </c>
      <c r="D748">
        <v>2019</v>
      </c>
      <c r="E748">
        <v>4</v>
      </c>
      <c r="F748">
        <v>0</v>
      </c>
      <c r="G748" t="s">
        <v>9</v>
      </c>
    </row>
    <row r="749" spans="1:7" x14ac:dyDescent="0.25">
      <c r="A749" t="s">
        <v>7</v>
      </c>
      <c r="B749" t="s">
        <v>8</v>
      </c>
      <c r="C749" s="1">
        <v>43572</v>
      </c>
      <c r="D749">
        <v>2019</v>
      </c>
      <c r="E749">
        <v>4</v>
      </c>
      <c r="F749">
        <v>0</v>
      </c>
      <c r="G749" t="s">
        <v>9</v>
      </c>
    </row>
    <row r="750" spans="1:7" x14ac:dyDescent="0.25">
      <c r="A750" t="s">
        <v>7</v>
      </c>
      <c r="B750" t="s">
        <v>8</v>
      </c>
      <c r="C750" s="1">
        <v>43574</v>
      </c>
      <c r="D750">
        <v>2019</v>
      </c>
      <c r="E750">
        <v>4</v>
      </c>
      <c r="F750">
        <v>0</v>
      </c>
      <c r="G750" t="s">
        <v>9</v>
      </c>
    </row>
    <row r="751" spans="1:7" x14ac:dyDescent="0.25">
      <c r="A751" t="s">
        <v>7</v>
      </c>
      <c r="B751" t="s">
        <v>8</v>
      </c>
      <c r="C751" s="1">
        <v>43581</v>
      </c>
      <c r="D751">
        <v>2019</v>
      </c>
      <c r="E751">
        <v>4</v>
      </c>
      <c r="F751">
        <v>0</v>
      </c>
      <c r="G751" t="s">
        <v>9</v>
      </c>
    </row>
    <row r="752" spans="1:7" x14ac:dyDescent="0.25">
      <c r="A752" t="s">
        <v>7</v>
      </c>
      <c r="B752" t="s">
        <v>8</v>
      </c>
      <c r="C752" s="1">
        <v>43586</v>
      </c>
      <c r="D752">
        <v>2019</v>
      </c>
      <c r="E752">
        <v>5</v>
      </c>
      <c r="F752">
        <v>0</v>
      </c>
      <c r="G752" t="s">
        <v>9</v>
      </c>
    </row>
    <row r="753" spans="1:7" x14ac:dyDescent="0.25">
      <c r="A753" t="s">
        <v>7</v>
      </c>
      <c r="B753" t="s">
        <v>8</v>
      </c>
      <c r="C753" s="1">
        <v>43593</v>
      </c>
      <c r="D753">
        <v>2019</v>
      </c>
      <c r="E753">
        <v>5</v>
      </c>
      <c r="F753">
        <v>0</v>
      </c>
      <c r="G753" t="s">
        <v>9</v>
      </c>
    </row>
    <row r="754" spans="1:7" x14ac:dyDescent="0.25">
      <c r="A754" t="s">
        <v>7</v>
      </c>
      <c r="B754" t="s">
        <v>8</v>
      </c>
      <c r="C754" s="1">
        <v>43595</v>
      </c>
      <c r="D754">
        <v>2019</v>
      </c>
      <c r="E754">
        <v>5</v>
      </c>
      <c r="F754">
        <v>0</v>
      </c>
      <c r="G754" t="s">
        <v>9</v>
      </c>
    </row>
    <row r="755" spans="1:7" x14ac:dyDescent="0.25">
      <c r="A755" t="s">
        <v>7</v>
      </c>
      <c r="B755" t="s">
        <v>8</v>
      </c>
      <c r="C755" s="1">
        <v>43598</v>
      </c>
      <c r="D755">
        <v>2019</v>
      </c>
      <c r="E755">
        <v>5</v>
      </c>
      <c r="F755">
        <v>0</v>
      </c>
      <c r="G755" t="s">
        <v>9</v>
      </c>
    </row>
    <row r="756" spans="1:7" x14ac:dyDescent="0.25">
      <c r="A756" t="s">
        <v>7</v>
      </c>
      <c r="B756" t="s">
        <v>8</v>
      </c>
      <c r="C756" s="1">
        <v>43602</v>
      </c>
      <c r="D756">
        <v>2019</v>
      </c>
      <c r="E756">
        <v>5</v>
      </c>
      <c r="F756">
        <v>0</v>
      </c>
      <c r="G756" t="s">
        <v>9</v>
      </c>
    </row>
    <row r="757" spans="1:7" x14ac:dyDescent="0.25">
      <c r="A757" t="s">
        <v>7</v>
      </c>
      <c r="B757" t="s">
        <v>8</v>
      </c>
      <c r="C757" s="1">
        <v>43619</v>
      </c>
      <c r="D757">
        <v>2019</v>
      </c>
      <c r="E757">
        <v>6</v>
      </c>
      <c r="F757">
        <v>0</v>
      </c>
      <c r="G757" t="s">
        <v>9</v>
      </c>
    </row>
    <row r="758" spans="1:7" x14ac:dyDescent="0.25">
      <c r="A758" t="s">
        <v>7</v>
      </c>
      <c r="B758" t="s">
        <v>8</v>
      </c>
      <c r="C758" s="1">
        <v>43620</v>
      </c>
      <c r="D758">
        <v>2019</v>
      </c>
      <c r="E758">
        <v>6</v>
      </c>
      <c r="F758">
        <v>0</v>
      </c>
      <c r="G758" t="s">
        <v>9</v>
      </c>
    </row>
    <row r="759" spans="1:7" x14ac:dyDescent="0.25">
      <c r="A759" t="s">
        <v>7</v>
      </c>
      <c r="B759" t="s">
        <v>8</v>
      </c>
      <c r="C759" s="1">
        <v>43621</v>
      </c>
      <c r="D759">
        <v>2019</v>
      </c>
      <c r="E759">
        <v>6</v>
      </c>
      <c r="F759">
        <v>1.6104117000000001E-2</v>
      </c>
      <c r="G759" t="s">
        <v>9</v>
      </c>
    </row>
    <row r="760" spans="1:7" x14ac:dyDescent="0.25">
      <c r="A760" t="s">
        <v>7</v>
      </c>
      <c r="B760" t="s">
        <v>8</v>
      </c>
      <c r="C760" s="1">
        <v>43624</v>
      </c>
      <c r="D760">
        <v>2019</v>
      </c>
      <c r="E760">
        <v>6</v>
      </c>
      <c r="F760">
        <v>0</v>
      </c>
      <c r="G760" t="s">
        <v>9</v>
      </c>
    </row>
    <row r="761" spans="1:7" x14ac:dyDescent="0.25">
      <c r="A761" t="s">
        <v>7</v>
      </c>
      <c r="B761" t="s">
        <v>8</v>
      </c>
      <c r="C761" s="1">
        <v>43627</v>
      </c>
      <c r="D761">
        <v>2019</v>
      </c>
      <c r="E761">
        <v>6</v>
      </c>
      <c r="F761">
        <v>0</v>
      </c>
      <c r="G761" t="s">
        <v>9</v>
      </c>
    </row>
    <row r="762" spans="1:7" x14ac:dyDescent="0.25">
      <c r="A762" t="s">
        <v>7</v>
      </c>
      <c r="B762" t="s">
        <v>8</v>
      </c>
      <c r="C762" s="1">
        <v>43633</v>
      </c>
      <c r="D762">
        <v>2019</v>
      </c>
      <c r="E762">
        <v>6</v>
      </c>
      <c r="F762">
        <v>0</v>
      </c>
      <c r="G762" t="s">
        <v>9</v>
      </c>
    </row>
    <row r="763" spans="1:7" x14ac:dyDescent="0.25">
      <c r="A763" t="s">
        <v>7</v>
      </c>
      <c r="B763" t="s">
        <v>8</v>
      </c>
      <c r="C763" s="1">
        <v>43636</v>
      </c>
      <c r="D763">
        <v>2019</v>
      </c>
      <c r="E763">
        <v>6</v>
      </c>
      <c r="F763">
        <v>0</v>
      </c>
      <c r="G763" t="s">
        <v>9</v>
      </c>
    </row>
    <row r="764" spans="1:7" x14ac:dyDescent="0.25">
      <c r="A764" t="s">
        <v>7</v>
      </c>
      <c r="B764" t="s">
        <v>8</v>
      </c>
      <c r="C764" s="1">
        <v>43648</v>
      </c>
      <c r="D764">
        <v>2019</v>
      </c>
      <c r="E764">
        <v>7</v>
      </c>
      <c r="F764">
        <v>0</v>
      </c>
      <c r="G764" t="s">
        <v>9</v>
      </c>
    </row>
    <row r="765" spans="1:7" x14ac:dyDescent="0.25">
      <c r="A765" t="s">
        <v>7</v>
      </c>
      <c r="B765" t="s">
        <v>8</v>
      </c>
      <c r="C765" s="1">
        <v>43650</v>
      </c>
      <c r="D765">
        <v>2019</v>
      </c>
      <c r="E765">
        <v>7</v>
      </c>
      <c r="F765">
        <v>0</v>
      </c>
      <c r="G765" t="s">
        <v>9</v>
      </c>
    </row>
    <row r="766" spans="1:7" x14ac:dyDescent="0.25">
      <c r="A766" t="s">
        <v>7</v>
      </c>
      <c r="B766" t="s">
        <v>8</v>
      </c>
      <c r="C766" s="1">
        <v>43669</v>
      </c>
      <c r="D766">
        <v>2019</v>
      </c>
      <c r="E766">
        <v>7</v>
      </c>
      <c r="F766">
        <v>0.48561260299999998</v>
      </c>
      <c r="G766" t="s">
        <v>9</v>
      </c>
    </row>
    <row r="767" spans="1:7" x14ac:dyDescent="0.25">
      <c r="A767" t="s">
        <v>7</v>
      </c>
      <c r="B767" t="s">
        <v>8</v>
      </c>
      <c r="C767" s="1">
        <v>43670</v>
      </c>
      <c r="D767">
        <v>2019</v>
      </c>
      <c r="E767">
        <v>7</v>
      </c>
      <c r="F767">
        <v>0</v>
      </c>
      <c r="G767" t="s">
        <v>9</v>
      </c>
    </row>
    <row r="768" spans="1:7" x14ac:dyDescent="0.25">
      <c r="A768" t="s">
        <v>7</v>
      </c>
      <c r="B768" t="s">
        <v>8</v>
      </c>
      <c r="C768" s="1">
        <v>43672</v>
      </c>
      <c r="D768">
        <v>2019</v>
      </c>
      <c r="E768">
        <v>7</v>
      </c>
      <c r="F768">
        <v>4.6021041010000001</v>
      </c>
      <c r="G768" t="s">
        <v>9</v>
      </c>
    </row>
    <row r="769" spans="1:7" x14ac:dyDescent="0.25">
      <c r="A769" t="s">
        <v>7</v>
      </c>
      <c r="B769" t="s">
        <v>8</v>
      </c>
      <c r="C769" s="1">
        <v>43679</v>
      </c>
      <c r="D769">
        <v>2019</v>
      </c>
      <c r="E769">
        <v>8</v>
      </c>
      <c r="F769">
        <v>0</v>
      </c>
      <c r="G769" t="s">
        <v>9</v>
      </c>
    </row>
    <row r="770" spans="1:7" x14ac:dyDescent="0.25">
      <c r="A770" t="s">
        <v>7</v>
      </c>
      <c r="B770" t="s">
        <v>8</v>
      </c>
      <c r="C770" s="1">
        <v>43693</v>
      </c>
      <c r="D770">
        <v>2019</v>
      </c>
      <c r="E770">
        <v>8</v>
      </c>
      <c r="F770">
        <v>0</v>
      </c>
      <c r="G770" t="s">
        <v>9</v>
      </c>
    </row>
    <row r="771" spans="1:7" x14ac:dyDescent="0.25">
      <c r="A771" t="s">
        <v>7</v>
      </c>
      <c r="B771" t="s">
        <v>8</v>
      </c>
      <c r="C771" s="1">
        <v>43698</v>
      </c>
      <c r="D771">
        <v>2019</v>
      </c>
      <c r="E771">
        <v>8</v>
      </c>
      <c r="F771">
        <v>7.8682832759999997</v>
      </c>
      <c r="G771" t="s">
        <v>9</v>
      </c>
    </row>
    <row r="772" spans="1:7" x14ac:dyDescent="0.25">
      <c r="A772" t="s">
        <v>7</v>
      </c>
      <c r="B772" t="s">
        <v>8</v>
      </c>
      <c r="C772" s="1">
        <v>43699</v>
      </c>
      <c r="D772">
        <v>2019</v>
      </c>
      <c r="E772">
        <v>8</v>
      </c>
      <c r="F772">
        <v>35.027809009999999</v>
      </c>
      <c r="G772" t="s">
        <v>9</v>
      </c>
    </row>
    <row r="773" spans="1:7" x14ac:dyDescent="0.25">
      <c r="A773" t="s">
        <v>7</v>
      </c>
      <c r="B773" t="s">
        <v>8</v>
      </c>
      <c r="C773" s="1">
        <v>43705</v>
      </c>
      <c r="D773">
        <v>2019</v>
      </c>
      <c r="E773">
        <v>8</v>
      </c>
      <c r="F773">
        <v>0</v>
      </c>
      <c r="G773" t="s">
        <v>9</v>
      </c>
    </row>
    <row r="774" spans="1:7" x14ac:dyDescent="0.25">
      <c r="A774" t="s">
        <v>7</v>
      </c>
      <c r="B774" t="s">
        <v>8</v>
      </c>
      <c r="C774" s="1">
        <v>43718</v>
      </c>
      <c r="D774">
        <v>2019</v>
      </c>
      <c r="E774">
        <v>9</v>
      </c>
      <c r="F774">
        <v>0</v>
      </c>
      <c r="G774" t="s">
        <v>9</v>
      </c>
    </row>
    <row r="775" spans="1:7" x14ac:dyDescent="0.25">
      <c r="A775" t="s">
        <v>7</v>
      </c>
      <c r="B775" t="s">
        <v>8</v>
      </c>
      <c r="C775" s="1">
        <v>43733</v>
      </c>
      <c r="D775">
        <v>2019</v>
      </c>
      <c r="E775">
        <v>9</v>
      </c>
      <c r="F775">
        <v>1.0153136270000001</v>
      </c>
      <c r="G775" t="s">
        <v>9</v>
      </c>
    </row>
    <row r="776" spans="1:7" x14ac:dyDescent="0.25">
      <c r="A776" t="s">
        <v>7</v>
      </c>
      <c r="B776" t="s">
        <v>8</v>
      </c>
      <c r="C776" s="1">
        <v>43735</v>
      </c>
      <c r="D776">
        <v>2019</v>
      </c>
      <c r="E776">
        <v>9</v>
      </c>
      <c r="F776">
        <v>0</v>
      </c>
      <c r="G776" t="s">
        <v>9</v>
      </c>
    </row>
    <row r="777" spans="1:7" x14ac:dyDescent="0.25">
      <c r="A777" t="s">
        <v>7</v>
      </c>
      <c r="B777" t="s">
        <v>8</v>
      </c>
      <c r="C777" s="1">
        <v>43730</v>
      </c>
      <c r="D777">
        <v>2019</v>
      </c>
      <c r="E777">
        <v>9</v>
      </c>
      <c r="F777">
        <v>1.5625485809999999</v>
      </c>
      <c r="G777" t="s">
        <v>9</v>
      </c>
    </row>
    <row r="778" spans="1:7" x14ac:dyDescent="0.25">
      <c r="A778" t="s">
        <v>7</v>
      </c>
      <c r="B778" t="s">
        <v>8</v>
      </c>
      <c r="C778" s="1">
        <v>43739</v>
      </c>
      <c r="D778">
        <v>2019</v>
      </c>
      <c r="E778">
        <v>10</v>
      </c>
      <c r="F778">
        <v>0</v>
      </c>
      <c r="G778" t="s">
        <v>9</v>
      </c>
    </row>
    <row r="779" spans="1:7" x14ac:dyDescent="0.25">
      <c r="A779" t="s">
        <v>7</v>
      </c>
      <c r="B779" t="s">
        <v>8</v>
      </c>
      <c r="C779" s="1">
        <v>43749</v>
      </c>
      <c r="D779">
        <v>2019</v>
      </c>
      <c r="E779">
        <v>10</v>
      </c>
      <c r="F779">
        <v>0</v>
      </c>
      <c r="G779" t="s">
        <v>9</v>
      </c>
    </row>
    <row r="780" spans="1:7" x14ac:dyDescent="0.25">
      <c r="A780" t="s">
        <v>7</v>
      </c>
      <c r="B780" t="s">
        <v>8</v>
      </c>
      <c r="C780" s="1">
        <v>43751</v>
      </c>
      <c r="D780">
        <v>2019</v>
      </c>
      <c r="E780">
        <v>10</v>
      </c>
      <c r="F780">
        <v>0.14810227500000001</v>
      </c>
      <c r="G780" t="s">
        <v>9</v>
      </c>
    </row>
    <row r="781" spans="1:7" x14ac:dyDescent="0.25">
      <c r="A781" t="s">
        <v>7</v>
      </c>
      <c r="B781" t="s">
        <v>8</v>
      </c>
      <c r="C781" s="1">
        <v>43753</v>
      </c>
      <c r="D781">
        <v>2019</v>
      </c>
      <c r="E781">
        <v>10</v>
      </c>
      <c r="F781">
        <v>10.51373066</v>
      </c>
      <c r="G781" t="s">
        <v>9</v>
      </c>
    </row>
    <row r="782" spans="1:7" x14ac:dyDescent="0.25">
      <c r="A782" t="s">
        <v>7</v>
      </c>
      <c r="B782" t="s">
        <v>8</v>
      </c>
      <c r="C782" s="1">
        <v>43756</v>
      </c>
      <c r="D782">
        <v>2019</v>
      </c>
      <c r="E782">
        <v>10</v>
      </c>
      <c r="F782">
        <v>5.4029557649999997</v>
      </c>
      <c r="G782" t="s">
        <v>9</v>
      </c>
    </row>
    <row r="783" spans="1:7" x14ac:dyDescent="0.25">
      <c r="A783" t="s">
        <v>7</v>
      </c>
      <c r="B783" t="s">
        <v>8</v>
      </c>
      <c r="C783" s="1">
        <v>43757</v>
      </c>
      <c r="D783">
        <v>2019</v>
      </c>
      <c r="E783">
        <v>10</v>
      </c>
      <c r="F783">
        <v>1.120902903</v>
      </c>
      <c r="G783" t="s">
        <v>9</v>
      </c>
    </row>
    <row r="784" spans="1:7" x14ac:dyDescent="0.25">
      <c r="A784" t="s">
        <v>7</v>
      </c>
      <c r="B784" t="s">
        <v>8</v>
      </c>
      <c r="C784" s="1">
        <v>43765</v>
      </c>
      <c r="D784">
        <v>2019</v>
      </c>
      <c r="E784">
        <v>10</v>
      </c>
      <c r="F784">
        <v>0</v>
      </c>
      <c r="G784" t="s">
        <v>9</v>
      </c>
    </row>
    <row r="785" spans="1:7" x14ac:dyDescent="0.25">
      <c r="A785" t="s">
        <v>7</v>
      </c>
      <c r="B785" t="s">
        <v>8</v>
      </c>
      <c r="C785" s="1">
        <v>43786</v>
      </c>
      <c r="D785">
        <v>2019</v>
      </c>
      <c r="E785">
        <v>11</v>
      </c>
      <c r="F785">
        <v>6.4641003489999997</v>
      </c>
      <c r="G785" t="s">
        <v>9</v>
      </c>
    </row>
    <row r="786" spans="1:7" x14ac:dyDescent="0.25">
      <c r="A786" t="s">
        <v>7</v>
      </c>
      <c r="B786" t="s">
        <v>8</v>
      </c>
      <c r="C786" s="1">
        <v>43787</v>
      </c>
      <c r="D786">
        <v>2019</v>
      </c>
      <c r="E786">
        <v>11</v>
      </c>
      <c r="F786">
        <v>1.5827143770000001</v>
      </c>
      <c r="G786" t="s">
        <v>9</v>
      </c>
    </row>
    <row r="787" spans="1:7" x14ac:dyDescent="0.25">
      <c r="A787" t="s">
        <v>7</v>
      </c>
      <c r="B787" t="s">
        <v>8</v>
      </c>
      <c r="C787" s="1">
        <v>43791</v>
      </c>
      <c r="D787">
        <v>2019</v>
      </c>
      <c r="E787">
        <v>11</v>
      </c>
      <c r="F787">
        <v>17.735902169999999</v>
      </c>
      <c r="G787" t="s">
        <v>9</v>
      </c>
    </row>
    <row r="788" spans="1:7" x14ac:dyDescent="0.25">
      <c r="A788" t="s">
        <v>7</v>
      </c>
      <c r="B788" t="s">
        <v>8</v>
      </c>
      <c r="C788" s="1">
        <v>43800</v>
      </c>
      <c r="D788">
        <v>2019</v>
      </c>
      <c r="E788">
        <v>12</v>
      </c>
      <c r="F788">
        <v>119.018776</v>
      </c>
      <c r="G788" t="s">
        <v>9</v>
      </c>
    </row>
    <row r="789" spans="1:7" x14ac:dyDescent="0.25">
      <c r="A789" t="s">
        <v>7</v>
      </c>
      <c r="B789" t="s">
        <v>8</v>
      </c>
      <c r="C789" s="1">
        <v>43804</v>
      </c>
      <c r="D789">
        <v>2019</v>
      </c>
      <c r="E789">
        <v>12</v>
      </c>
      <c r="F789">
        <v>0.94264648500000003</v>
      </c>
      <c r="G789" t="s">
        <v>9</v>
      </c>
    </row>
    <row r="790" spans="1:7" x14ac:dyDescent="0.25">
      <c r="A790" t="s">
        <v>7</v>
      </c>
      <c r="B790" t="s">
        <v>8</v>
      </c>
      <c r="C790" s="1">
        <v>43815</v>
      </c>
      <c r="D790">
        <v>2019</v>
      </c>
      <c r="E790">
        <v>12</v>
      </c>
      <c r="F790">
        <v>0</v>
      </c>
      <c r="G790" t="s">
        <v>9</v>
      </c>
    </row>
    <row r="791" spans="1:7" x14ac:dyDescent="0.25">
      <c r="A791" t="s">
        <v>7</v>
      </c>
      <c r="B791" t="s">
        <v>8</v>
      </c>
      <c r="C791" s="1">
        <v>43817</v>
      </c>
      <c r="D791">
        <v>2019</v>
      </c>
      <c r="E791">
        <v>12</v>
      </c>
      <c r="F791">
        <v>0.56988637900000005</v>
      </c>
      <c r="G791" t="s">
        <v>9</v>
      </c>
    </row>
    <row r="792" spans="1:7" x14ac:dyDescent="0.25">
      <c r="A792" t="s">
        <v>7</v>
      </c>
      <c r="B792" t="s">
        <v>8</v>
      </c>
      <c r="C792" s="1">
        <v>43824</v>
      </c>
      <c r="D792">
        <v>2019</v>
      </c>
      <c r="E792">
        <v>12</v>
      </c>
      <c r="F792">
        <v>12.680037799999999</v>
      </c>
      <c r="G792" t="s">
        <v>9</v>
      </c>
    </row>
    <row r="793" spans="1:7" x14ac:dyDescent="0.25">
      <c r="A793" t="s">
        <v>7</v>
      </c>
      <c r="B793" t="s">
        <v>8</v>
      </c>
      <c r="C793" s="1">
        <v>43500</v>
      </c>
      <c r="D793">
        <v>2019</v>
      </c>
      <c r="E793">
        <v>2</v>
      </c>
      <c r="F793">
        <v>0</v>
      </c>
      <c r="G793" t="s">
        <v>9</v>
      </c>
    </row>
    <row r="794" spans="1:7" x14ac:dyDescent="0.25">
      <c r="A794" t="s">
        <v>7</v>
      </c>
      <c r="B794" t="s">
        <v>8</v>
      </c>
      <c r="C794" s="1">
        <v>43686</v>
      </c>
      <c r="D794">
        <v>2019</v>
      </c>
      <c r="E794">
        <v>8</v>
      </c>
      <c r="F794">
        <v>0</v>
      </c>
      <c r="G794" t="s">
        <v>9</v>
      </c>
    </row>
    <row r="795" spans="1:7" x14ac:dyDescent="0.25">
      <c r="A795" t="s">
        <v>7</v>
      </c>
      <c r="B795" t="s">
        <v>8</v>
      </c>
      <c r="C795" s="1">
        <v>43707</v>
      </c>
      <c r="D795">
        <v>2019</v>
      </c>
      <c r="E795">
        <v>8</v>
      </c>
      <c r="F795">
        <v>2.9445624229999998</v>
      </c>
      <c r="G795" t="s">
        <v>9</v>
      </c>
    </row>
    <row r="796" spans="1:7" x14ac:dyDescent="0.25">
      <c r="A796" t="s">
        <v>7</v>
      </c>
      <c r="B796" t="s">
        <v>10</v>
      </c>
      <c r="C796" s="1">
        <v>43468</v>
      </c>
      <c r="D796">
        <v>2019</v>
      </c>
      <c r="E796">
        <v>1</v>
      </c>
      <c r="F796">
        <v>0</v>
      </c>
      <c r="G796" t="s">
        <v>9</v>
      </c>
    </row>
    <row r="797" spans="1:7" x14ac:dyDescent="0.25">
      <c r="A797" t="s">
        <v>7</v>
      </c>
      <c r="B797" t="s">
        <v>10</v>
      </c>
      <c r="C797" s="1">
        <v>43473</v>
      </c>
      <c r="D797">
        <v>2019</v>
      </c>
      <c r="E797">
        <v>1</v>
      </c>
      <c r="F797">
        <v>0</v>
      </c>
      <c r="G797" t="s">
        <v>9</v>
      </c>
    </row>
    <row r="798" spans="1:7" x14ac:dyDescent="0.25">
      <c r="A798" t="s">
        <v>7</v>
      </c>
      <c r="B798" t="s">
        <v>10</v>
      </c>
      <c r="C798" s="1">
        <v>43475</v>
      </c>
      <c r="D798">
        <v>2019</v>
      </c>
      <c r="E798">
        <v>1</v>
      </c>
      <c r="F798">
        <v>0</v>
      </c>
      <c r="G798" t="s">
        <v>9</v>
      </c>
    </row>
    <row r="799" spans="1:7" x14ac:dyDescent="0.25">
      <c r="A799" t="s">
        <v>7</v>
      </c>
      <c r="B799" t="s">
        <v>10</v>
      </c>
      <c r="C799" s="1">
        <v>43479</v>
      </c>
      <c r="D799">
        <v>2019</v>
      </c>
      <c r="E799">
        <v>1</v>
      </c>
      <c r="F799">
        <v>0</v>
      </c>
      <c r="G799" t="s">
        <v>9</v>
      </c>
    </row>
    <row r="800" spans="1:7" x14ac:dyDescent="0.25">
      <c r="A800" t="s">
        <v>7</v>
      </c>
      <c r="B800" t="s">
        <v>10</v>
      </c>
      <c r="C800" s="1">
        <v>43493</v>
      </c>
      <c r="D800">
        <v>2019</v>
      </c>
      <c r="E800">
        <v>1</v>
      </c>
      <c r="F800">
        <v>4.8676037790000004</v>
      </c>
      <c r="G800" t="s">
        <v>9</v>
      </c>
    </row>
    <row r="801" spans="1:7" x14ac:dyDescent="0.25">
      <c r="A801" t="s">
        <v>7</v>
      </c>
      <c r="B801" t="s">
        <v>10</v>
      </c>
      <c r="C801" s="1">
        <v>43500</v>
      </c>
      <c r="D801">
        <v>2019</v>
      </c>
      <c r="E801">
        <v>2</v>
      </c>
      <c r="F801">
        <v>0</v>
      </c>
      <c r="G801" t="s">
        <v>9</v>
      </c>
    </row>
    <row r="802" spans="1:7" x14ac:dyDescent="0.25">
      <c r="A802" t="s">
        <v>7</v>
      </c>
      <c r="B802" t="s">
        <v>10</v>
      </c>
      <c r="C802" s="1">
        <v>43507</v>
      </c>
      <c r="D802">
        <v>2019</v>
      </c>
      <c r="E802">
        <v>2</v>
      </c>
      <c r="F802">
        <v>0</v>
      </c>
      <c r="G802" t="s">
        <v>9</v>
      </c>
    </row>
    <row r="803" spans="1:7" x14ac:dyDescent="0.25">
      <c r="A803" t="s">
        <v>7</v>
      </c>
      <c r="B803" t="s">
        <v>10</v>
      </c>
      <c r="C803" s="1">
        <v>43509</v>
      </c>
      <c r="D803">
        <v>2019</v>
      </c>
      <c r="E803">
        <v>2</v>
      </c>
      <c r="F803">
        <v>0</v>
      </c>
      <c r="G803" t="s">
        <v>9</v>
      </c>
    </row>
    <row r="804" spans="1:7" x14ac:dyDescent="0.25">
      <c r="A804" t="s">
        <v>7</v>
      </c>
      <c r="B804" t="s">
        <v>10</v>
      </c>
      <c r="C804" s="1">
        <v>43516</v>
      </c>
      <c r="D804">
        <v>2019</v>
      </c>
      <c r="E804">
        <v>2</v>
      </c>
      <c r="F804">
        <v>0</v>
      </c>
      <c r="G804" t="s">
        <v>9</v>
      </c>
    </row>
    <row r="805" spans="1:7" x14ac:dyDescent="0.25">
      <c r="A805" t="s">
        <v>7</v>
      </c>
      <c r="B805" t="s">
        <v>10</v>
      </c>
      <c r="C805" s="1">
        <v>43523</v>
      </c>
      <c r="D805">
        <v>2019</v>
      </c>
      <c r="E805">
        <v>2</v>
      </c>
      <c r="F805">
        <v>0</v>
      </c>
      <c r="G805" t="s">
        <v>9</v>
      </c>
    </row>
    <row r="806" spans="1:7" x14ac:dyDescent="0.25">
      <c r="A806" t="s">
        <v>7</v>
      </c>
      <c r="B806" t="s">
        <v>10</v>
      </c>
      <c r="C806" s="1">
        <v>43525</v>
      </c>
      <c r="D806">
        <v>2019</v>
      </c>
      <c r="E806">
        <v>3</v>
      </c>
      <c r="F806">
        <v>2.1286721229999999</v>
      </c>
      <c r="G806" t="s">
        <v>9</v>
      </c>
    </row>
    <row r="807" spans="1:7" x14ac:dyDescent="0.25">
      <c r="A807" t="s">
        <v>7</v>
      </c>
      <c r="B807" t="s">
        <v>10</v>
      </c>
      <c r="C807" s="1">
        <v>43526</v>
      </c>
      <c r="D807">
        <v>2019</v>
      </c>
      <c r="E807">
        <v>3</v>
      </c>
      <c r="F807">
        <v>5.8954892159999996</v>
      </c>
      <c r="G807" t="s">
        <v>9</v>
      </c>
    </row>
    <row r="808" spans="1:7" x14ac:dyDescent="0.25">
      <c r="A808" t="s">
        <v>7</v>
      </c>
      <c r="B808" t="s">
        <v>10</v>
      </c>
      <c r="C808" s="1">
        <v>43535</v>
      </c>
      <c r="D808">
        <v>2019</v>
      </c>
      <c r="E808">
        <v>3</v>
      </c>
      <c r="F808">
        <v>0</v>
      </c>
      <c r="G808" t="s">
        <v>9</v>
      </c>
    </row>
    <row r="809" spans="1:7" x14ac:dyDescent="0.25">
      <c r="A809" t="s">
        <v>7</v>
      </c>
      <c r="B809" t="s">
        <v>10</v>
      </c>
      <c r="C809" s="1">
        <v>43538</v>
      </c>
      <c r="D809">
        <v>2019</v>
      </c>
      <c r="E809">
        <v>3</v>
      </c>
      <c r="F809">
        <v>0</v>
      </c>
      <c r="G809" t="s">
        <v>9</v>
      </c>
    </row>
    <row r="810" spans="1:7" x14ac:dyDescent="0.25">
      <c r="A810" t="s">
        <v>7</v>
      </c>
      <c r="B810" t="s">
        <v>10</v>
      </c>
      <c r="C810" s="1">
        <v>43541</v>
      </c>
      <c r="D810">
        <v>2019</v>
      </c>
      <c r="E810">
        <v>3</v>
      </c>
      <c r="F810">
        <v>0</v>
      </c>
      <c r="G810" t="s">
        <v>9</v>
      </c>
    </row>
    <row r="811" spans="1:7" x14ac:dyDescent="0.25">
      <c r="A811" t="s">
        <v>7</v>
      </c>
      <c r="B811" t="s">
        <v>10</v>
      </c>
      <c r="C811" s="1">
        <v>43542</v>
      </c>
      <c r="D811">
        <v>2019</v>
      </c>
      <c r="E811">
        <v>3</v>
      </c>
      <c r="F811">
        <v>0</v>
      </c>
      <c r="G811" t="s">
        <v>9</v>
      </c>
    </row>
    <row r="812" spans="1:7" x14ac:dyDescent="0.25">
      <c r="A812" t="s">
        <v>7</v>
      </c>
      <c r="B812" t="s">
        <v>10</v>
      </c>
      <c r="C812" s="1">
        <v>43546</v>
      </c>
      <c r="D812">
        <v>2019</v>
      </c>
      <c r="E812">
        <v>3</v>
      </c>
      <c r="F812">
        <v>0</v>
      </c>
      <c r="G812" t="s">
        <v>9</v>
      </c>
    </row>
    <row r="813" spans="1:7" x14ac:dyDescent="0.25">
      <c r="A813" t="s">
        <v>7</v>
      </c>
      <c r="B813" t="s">
        <v>10</v>
      </c>
      <c r="C813" s="1">
        <v>43547</v>
      </c>
      <c r="D813">
        <v>2019</v>
      </c>
      <c r="E813">
        <v>3</v>
      </c>
      <c r="F813">
        <v>0</v>
      </c>
      <c r="G813" t="s">
        <v>9</v>
      </c>
    </row>
    <row r="814" spans="1:7" x14ac:dyDescent="0.25">
      <c r="A814" t="s">
        <v>7</v>
      </c>
      <c r="B814" t="s">
        <v>10</v>
      </c>
      <c r="C814" s="1">
        <v>43548</v>
      </c>
      <c r="D814">
        <v>2019</v>
      </c>
      <c r="E814">
        <v>3</v>
      </c>
      <c r="F814">
        <v>0</v>
      </c>
      <c r="G814" t="s">
        <v>9</v>
      </c>
    </row>
    <row r="815" spans="1:7" x14ac:dyDescent="0.25">
      <c r="A815" t="s">
        <v>7</v>
      </c>
      <c r="B815" t="s">
        <v>10</v>
      </c>
      <c r="C815" s="1">
        <v>43550</v>
      </c>
      <c r="D815">
        <v>2019</v>
      </c>
      <c r="E815">
        <v>3</v>
      </c>
      <c r="F815">
        <v>0</v>
      </c>
      <c r="G815" t="s">
        <v>9</v>
      </c>
    </row>
    <row r="816" spans="1:7" x14ac:dyDescent="0.25">
      <c r="A816" t="s">
        <v>7</v>
      </c>
      <c r="B816" t="s">
        <v>10</v>
      </c>
      <c r="C816" s="1">
        <v>43552</v>
      </c>
      <c r="D816">
        <v>2019</v>
      </c>
      <c r="E816">
        <v>3</v>
      </c>
      <c r="F816">
        <v>0</v>
      </c>
      <c r="G816" t="s">
        <v>9</v>
      </c>
    </row>
    <row r="817" spans="1:7" x14ac:dyDescent="0.25">
      <c r="A817" t="s">
        <v>7</v>
      </c>
      <c r="B817" t="s">
        <v>10</v>
      </c>
      <c r="C817" s="1">
        <v>43555</v>
      </c>
      <c r="D817">
        <v>2019</v>
      </c>
      <c r="E817">
        <v>3</v>
      </c>
      <c r="F817">
        <v>0</v>
      </c>
      <c r="G817" t="s">
        <v>9</v>
      </c>
    </row>
    <row r="818" spans="1:7" x14ac:dyDescent="0.25">
      <c r="A818" t="s">
        <v>7</v>
      </c>
      <c r="B818" t="s">
        <v>10</v>
      </c>
      <c r="C818" s="1">
        <v>43561</v>
      </c>
      <c r="D818">
        <v>2019</v>
      </c>
      <c r="E818">
        <v>4</v>
      </c>
      <c r="F818">
        <v>0</v>
      </c>
      <c r="G818" t="s">
        <v>9</v>
      </c>
    </row>
    <row r="819" spans="1:7" x14ac:dyDescent="0.25">
      <c r="A819" t="s">
        <v>7</v>
      </c>
      <c r="B819" t="s">
        <v>10</v>
      </c>
      <c r="C819" s="1">
        <v>43568</v>
      </c>
      <c r="D819">
        <v>2019</v>
      </c>
      <c r="E819">
        <v>4</v>
      </c>
      <c r="F819">
        <v>4.4513115880000003</v>
      </c>
      <c r="G819" t="s">
        <v>9</v>
      </c>
    </row>
    <row r="820" spans="1:7" x14ac:dyDescent="0.25">
      <c r="A820" t="s">
        <v>7</v>
      </c>
      <c r="B820" t="s">
        <v>10</v>
      </c>
      <c r="C820" s="1">
        <v>43573</v>
      </c>
      <c r="D820">
        <v>2019</v>
      </c>
      <c r="E820">
        <v>4</v>
      </c>
      <c r="F820">
        <v>0</v>
      </c>
      <c r="G820" t="s">
        <v>9</v>
      </c>
    </row>
    <row r="821" spans="1:7" x14ac:dyDescent="0.25">
      <c r="A821" t="s">
        <v>7</v>
      </c>
      <c r="B821" t="s">
        <v>10</v>
      </c>
      <c r="C821" s="1">
        <v>43574</v>
      </c>
      <c r="D821">
        <v>2019</v>
      </c>
      <c r="E821">
        <v>4</v>
      </c>
      <c r="F821">
        <v>0</v>
      </c>
      <c r="G821" t="s">
        <v>9</v>
      </c>
    </row>
    <row r="822" spans="1:7" x14ac:dyDescent="0.25">
      <c r="A822" t="s">
        <v>7</v>
      </c>
      <c r="B822" t="s">
        <v>10</v>
      </c>
      <c r="C822" s="1">
        <v>43576</v>
      </c>
      <c r="D822">
        <v>2019</v>
      </c>
      <c r="E822">
        <v>4</v>
      </c>
      <c r="F822">
        <v>0.50669956199999999</v>
      </c>
      <c r="G822" t="s">
        <v>9</v>
      </c>
    </row>
    <row r="823" spans="1:7" x14ac:dyDescent="0.25">
      <c r="A823" t="s">
        <v>7</v>
      </c>
      <c r="B823" t="s">
        <v>10</v>
      </c>
      <c r="C823" s="1">
        <v>43578</v>
      </c>
      <c r="D823">
        <v>2019</v>
      </c>
      <c r="E823">
        <v>4</v>
      </c>
      <c r="F823">
        <v>1.841421843</v>
      </c>
      <c r="G823" t="s">
        <v>9</v>
      </c>
    </row>
    <row r="824" spans="1:7" x14ac:dyDescent="0.25">
      <c r="A824" t="s">
        <v>7</v>
      </c>
      <c r="B824" t="s">
        <v>10</v>
      </c>
      <c r="C824" s="1">
        <v>43579</v>
      </c>
      <c r="D824">
        <v>2019</v>
      </c>
      <c r="E824">
        <v>4</v>
      </c>
      <c r="F824">
        <v>0.74040770499999997</v>
      </c>
      <c r="G824" t="s">
        <v>9</v>
      </c>
    </row>
    <row r="825" spans="1:7" x14ac:dyDescent="0.25">
      <c r="A825" t="s">
        <v>7</v>
      </c>
      <c r="B825" t="s">
        <v>10</v>
      </c>
      <c r="C825" s="1">
        <v>43580</v>
      </c>
      <c r="D825">
        <v>2019</v>
      </c>
      <c r="E825">
        <v>4</v>
      </c>
      <c r="F825">
        <v>0</v>
      </c>
      <c r="G825" t="s">
        <v>9</v>
      </c>
    </row>
    <row r="826" spans="1:7" x14ac:dyDescent="0.25">
      <c r="A826" t="s">
        <v>7</v>
      </c>
      <c r="B826" t="s">
        <v>10</v>
      </c>
      <c r="C826" s="1">
        <v>43592</v>
      </c>
      <c r="D826">
        <v>2019</v>
      </c>
      <c r="E826">
        <v>5</v>
      </c>
      <c r="F826">
        <v>0</v>
      </c>
      <c r="G826" t="s">
        <v>9</v>
      </c>
    </row>
    <row r="827" spans="1:7" x14ac:dyDescent="0.25">
      <c r="A827" t="s">
        <v>7</v>
      </c>
      <c r="B827" t="s">
        <v>10</v>
      </c>
      <c r="C827" s="1">
        <v>43594</v>
      </c>
      <c r="D827">
        <v>2019</v>
      </c>
      <c r="E827">
        <v>5</v>
      </c>
      <c r="F827">
        <v>0</v>
      </c>
      <c r="G827" t="s">
        <v>9</v>
      </c>
    </row>
    <row r="828" spans="1:7" x14ac:dyDescent="0.25">
      <c r="A828" t="s">
        <v>7</v>
      </c>
      <c r="B828" t="s">
        <v>10</v>
      </c>
      <c r="C828" s="1">
        <v>43599</v>
      </c>
      <c r="D828">
        <v>2019</v>
      </c>
      <c r="E828">
        <v>5</v>
      </c>
      <c r="F828">
        <v>0</v>
      </c>
      <c r="G828" t="s">
        <v>9</v>
      </c>
    </row>
    <row r="829" spans="1:7" x14ac:dyDescent="0.25">
      <c r="A829" t="s">
        <v>7</v>
      </c>
      <c r="B829" t="s">
        <v>10</v>
      </c>
      <c r="C829" s="1">
        <v>43602</v>
      </c>
      <c r="D829">
        <v>2019</v>
      </c>
      <c r="E829">
        <v>5</v>
      </c>
      <c r="F829">
        <v>0</v>
      </c>
      <c r="G829" t="s">
        <v>9</v>
      </c>
    </row>
    <row r="830" spans="1:7" x14ac:dyDescent="0.25">
      <c r="A830" t="s">
        <v>7</v>
      </c>
      <c r="B830" t="s">
        <v>10</v>
      </c>
      <c r="C830" s="1">
        <v>43608</v>
      </c>
      <c r="D830">
        <v>2019</v>
      </c>
      <c r="E830">
        <v>5</v>
      </c>
      <c r="F830">
        <v>0</v>
      </c>
      <c r="G830" t="s">
        <v>9</v>
      </c>
    </row>
    <row r="831" spans="1:7" x14ac:dyDescent="0.25">
      <c r="A831" t="s">
        <v>7</v>
      </c>
      <c r="B831" t="s">
        <v>10</v>
      </c>
      <c r="C831" s="1">
        <v>43618</v>
      </c>
      <c r="D831">
        <v>2019</v>
      </c>
      <c r="E831">
        <v>6</v>
      </c>
      <c r="F831">
        <v>0</v>
      </c>
      <c r="G831" t="s">
        <v>9</v>
      </c>
    </row>
    <row r="832" spans="1:7" x14ac:dyDescent="0.25">
      <c r="A832" t="s">
        <v>7</v>
      </c>
      <c r="B832" t="s">
        <v>10</v>
      </c>
      <c r="C832" s="1">
        <v>43642</v>
      </c>
      <c r="D832">
        <v>2019</v>
      </c>
      <c r="E832">
        <v>6</v>
      </c>
      <c r="F832">
        <v>0.173396736</v>
      </c>
      <c r="G832" t="s">
        <v>9</v>
      </c>
    </row>
    <row r="833" spans="1:7" x14ac:dyDescent="0.25">
      <c r="A833" t="s">
        <v>7</v>
      </c>
      <c r="B833" t="s">
        <v>10</v>
      </c>
      <c r="C833" s="1">
        <v>43654</v>
      </c>
      <c r="D833">
        <v>2019</v>
      </c>
      <c r="E833">
        <v>7</v>
      </c>
      <c r="F833">
        <v>10.969824790000001</v>
      </c>
      <c r="G833" t="s">
        <v>9</v>
      </c>
    </row>
    <row r="834" spans="1:7" x14ac:dyDescent="0.25">
      <c r="A834" t="s">
        <v>7</v>
      </c>
      <c r="B834" t="s">
        <v>10</v>
      </c>
      <c r="C834" s="1">
        <v>43660</v>
      </c>
      <c r="D834">
        <v>2019</v>
      </c>
      <c r="E834">
        <v>7</v>
      </c>
      <c r="F834">
        <v>4.9069962499999997</v>
      </c>
      <c r="G834" t="s">
        <v>9</v>
      </c>
    </row>
    <row r="835" spans="1:7" x14ac:dyDescent="0.25">
      <c r="A835" t="s">
        <v>7</v>
      </c>
      <c r="B835" t="s">
        <v>10</v>
      </c>
      <c r="C835" s="1">
        <v>43676</v>
      </c>
      <c r="D835">
        <v>2019</v>
      </c>
      <c r="E835">
        <v>7</v>
      </c>
      <c r="F835">
        <v>4.0027446749999998</v>
      </c>
      <c r="G835" t="s">
        <v>9</v>
      </c>
    </row>
    <row r="836" spans="1:7" x14ac:dyDescent="0.25">
      <c r="A836" t="s">
        <v>7</v>
      </c>
      <c r="B836" t="s">
        <v>10</v>
      </c>
      <c r="C836" s="1">
        <v>43679</v>
      </c>
      <c r="D836">
        <v>2019</v>
      </c>
      <c r="E836">
        <v>8</v>
      </c>
      <c r="F836">
        <v>50.298553470000002</v>
      </c>
      <c r="G836" t="s">
        <v>9</v>
      </c>
    </row>
    <row r="837" spans="1:7" x14ac:dyDescent="0.25">
      <c r="A837" t="s">
        <v>7</v>
      </c>
      <c r="B837" t="s">
        <v>10</v>
      </c>
      <c r="C837" s="1">
        <v>43685</v>
      </c>
      <c r="D837">
        <v>2019</v>
      </c>
      <c r="E837">
        <v>8</v>
      </c>
      <c r="F837">
        <v>15.878356930000001</v>
      </c>
      <c r="G837" t="s">
        <v>9</v>
      </c>
    </row>
    <row r="838" spans="1:7" x14ac:dyDescent="0.25">
      <c r="A838" t="s">
        <v>7</v>
      </c>
      <c r="B838" t="s">
        <v>10</v>
      </c>
      <c r="C838" s="1">
        <v>43686</v>
      </c>
      <c r="D838">
        <v>2019</v>
      </c>
      <c r="E838">
        <v>8</v>
      </c>
      <c r="F838">
        <v>11.387993809999999</v>
      </c>
      <c r="G838" t="s">
        <v>9</v>
      </c>
    </row>
    <row r="839" spans="1:7" x14ac:dyDescent="0.25">
      <c r="A839" t="s">
        <v>7</v>
      </c>
      <c r="B839" t="s">
        <v>10</v>
      </c>
      <c r="C839" s="1">
        <v>43688</v>
      </c>
      <c r="D839">
        <v>2019</v>
      </c>
      <c r="E839">
        <v>8</v>
      </c>
      <c r="F839">
        <v>0</v>
      </c>
      <c r="G839" t="s">
        <v>9</v>
      </c>
    </row>
    <row r="840" spans="1:7" x14ac:dyDescent="0.25">
      <c r="A840" t="s">
        <v>7</v>
      </c>
      <c r="B840" t="s">
        <v>10</v>
      </c>
      <c r="C840" s="1">
        <v>43690</v>
      </c>
      <c r="D840">
        <v>2019</v>
      </c>
      <c r="E840">
        <v>8</v>
      </c>
      <c r="F840">
        <v>1.8677855729999999</v>
      </c>
      <c r="G840" t="s">
        <v>9</v>
      </c>
    </row>
    <row r="841" spans="1:7" x14ac:dyDescent="0.25">
      <c r="A841" t="s">
        <v>7</v>
      </c>
      <c r="B841" t="s">
        <v>10</v>
      </c>
      <c r="C841" s="1">
        <v>43695</v>
      </c>
      <c r="D841">
        <v>2019</v>
      </c>
      <c r="E841">
        <v>8</v>
      </c>
      <c r="F841">
        <v>2.5740859509999998</v>
      </c>
      <c r="G841" t="s">
        <v>9</v>
      </c>
    </row>
    <row r="842" spans="1:7" x14ac:dyDescent="0.25">
      <c r="A842" t="s">
        <v>7</v>
      </c>
      <c r="B842" t="s">
        <v>10</v>
      </c>
      <c r="C842" s="1">
        <v>43699</v>
      </c>
      <c r="D842">
        <v>2019</v>
      </c>
      <c r="E842">
        <v>8</v>
      </c>
      <c r="F842">
        <v>3.7945895200000002</v>
      </c>
      <c r="G842" t="s">
        <v>9</v>
      </c>
    </row>
    <row r="843" spans="1:7" x14ac:dyDescent="0.25">
      <c r="A843" t="s">
        <v>7</v>
      </c>
      <c r="B843" t="s">
        <v>10</v>
      </c>
      <c r="C843" s="1">
        <v>43703</v>
      </c>
      <c r="D843">
        <v>2019</v>
      </c>
      <c r="E843">
        <v>8</v>
      </c>
      <c r="F843">
        <v>1.9845222229999999</v>
      </c>
      <c r="G843" t="s">
        <v>9</v>
      </c>
    </row>
    <row r="844" spans="1:7" x14ac:dyDescent="0.25">
      <c r="A844" t="s">
        <v>7</v>
      </c>
      <c r="B844" t="s">
        <v>10</v>
      </c>
      <c r="C844" s="1">
        <v>43707</v>
      </c>
      <c r="D844">
        <v>2019</v>
      </c>
      <c r="E844">
        <v>8</v>
      </c>
      <c r="F844">
        <v>0</v>
      </c>
      <c r="G844" t="s">
        <v>9</v>
      </c>
    </row>
    <row r="845" spans="1:7" x14ac:dyDescent="0.25">
      <c r="A845" t="s">
        <v>7</v>
      </c>
      <c r="B845" t="s">
        <v>10</v>
      </c>
      <c r="C845" s="1">
        <v>43711</v>
      </c>
      <c r="D845">
        <v>2019</v>
      </c>
      <c r="E845">
        <v>9</v>
      </c>
      <c r="F845">
        <v>1.9506639240000001</v>
      </c>
      <c r="G845" t="s">
        <v>9</v>
      </c>
    </row>
    <row r="846" spans="1:7" x14ac:dyDescent="0.25">
      <c r="A846" t="s">
        <v>7</v>
      </c>
      <c r="B846" t="s">
        <v>10</v>
      </c>
      <c r="C846" s="1">
        <v>43714</v>
      </c>
      <c r="D846">
        <v>2019</v>
      </c>
      <c r="E846">
        <v>9</v>
      </c>
      <c r="F846">
        <v>7.7925386430000003</v>
      </c>
      <c r="G846" t="s">
        <v>9</v>
      </c>
    </row>
    <row r="847" spans="1:7" x14ac:dyDescent="0.25">
      <c r="A847" t="s">
        <v>7</v>
      </c>
      <c r="B847" t="s">
        <v>10</v>
      </c>
      <c r="C847" s="1">
        <v>43720</v>
      </c>
      <c r="D847">
        <v>2019</v>
      </c>
      <c r="E847">
        <v>9</v>
      </c>
      <c r="F847">
        <v>22.338043209999999</v>
      </c>
      <c r="G847" t="s">
        <v>9</v>
      </c>
    </row>
    <row r="848" spans="1:7" x14ac:dyDescent="0.25">
      <c r="A848" t="s">
        <v>7</v>
      </c>
      <c r="B848" t="s">
        <v>10</v>
      </c>
      <c r="C848" s="1">
        <v>43744</v>
      </c>
      <c r="D848">
        <v>2019</v>
      </c>
      <c r="E848">
        <v>10</v>
      </c>
      <c r="F848">
        <v>4.442446232</v>
      </c>
      <c r="G848" t="s">
        <v>9</v>
      </c>
    </row>
    <row r="849" spans="1:7" x14ac:dyDescent="0.25">
      <c r="A849" t="s">
        <v>7</v>
      </c>
      <c r="B849" t="s">
        <v>10</v>
      </c>
      <c r="C849" s="1">
        <v>43748</v>
      </c>
      <c r="D849">
        <v>2019</v>
      </c>
      <c r="E849">
        <v>10</v>
      </c>
      <c r="F849">
        <v>2.8690795900000001</v>
      </c>
      <c r="G849" t="s">
        <v>9</v>
      </c>
    </row>
    <row r="850" spans="1:7" x14ac:dyDescent="0.25">
      <c r="A850" t="s">
        <v>7</v>
      </c>
      <c r="B850" t="s">
        <v>10</v>
      </c>
      <c r="C850" s="1">
        <v>43755</v>
      </c>
      <c r="D850">
        <v>2019</v>
      </c>
      <c r="E850">
        <v>10</v>
      </c>
      <c r="F850">
        <v>5.8866634370000002</v>
      </c>
      <c r="G850" t="s">
        <v>9</v>
      </c>
    </row>
    <row r="851" spans="1:7" x14ac:dyDescent="0.25">
      <c r="A851" t="s">
        <v>7</v>
      </c>
      <c r="B851" t="s">
        <v>10</v>
      </c>
      <c r="C851" s="1">
        <v>43756</v>
      </c>
      <c r="D851">
        <v>2019</v>
      </c>
      <c r="E851">
        <v>10</v>
      </c>
      <c r="F851">
        <v>26.32350349</v>
      </c>
      <c r="G851" t="s">
        <v>9</v>
      </c>
    </row>
    <row r="852" spans="1:7" x14ac:dyDescent="0.25">
      <c r="A852" t="s">
        <v>7</v>
      </c>
      <c r="B852" t="s">
        <v>10</v>
      </c>
      <c r="C852" s="1">
        <v>43766</v>
      </c>
      <c r="D852">
        <v>2019</v>
      </c>
      <c r="E852">
        <v>10</v>
      </c>
      <c r="F852">
        <v>0</v>
      </c>
      <c r="G852" t="s">
        <v>9</v>
      </c>
    </row>
    <row r="853" spans="1:7" x14ac:dyDescent="0.25">
      <c r="A853" t="s">
        <v>7</v>
      </c>
      <c r="B853" t="s">
        <v>10</v>
      </c>
      <c r="C853" s="1">
        <v>43773</v>
      </c>
      <c r="D853">
        <v>2019</v>
      </c>
      <c r="E853">
        <v>11</v>
      </c>
      <c r="F853">
        <v>0</v>
      </c>
      <c r="G853" t="s">
        <v>9</v>
      </c>
    </row>
    <row r="854" spans="1:7" x14ac:dyDescent="0.25">
      <c r="A854" t="s">
        <v>7</v>
      </c>
      <c r="B854" t="s">
        <v>10</v>
      </c>
      <c r="C854" s="1">
        <v>43774</v>
      </c>
      <c r="D854">
        <v>2019</v>
      </c>
      <c r="E854">
        <v>11</v>
      </c>
      <c r="F854">
        <v>0</v>
      </c>
      <c r="G854" t="s">
        <v>9</v>
      </c>
    </row>
    <row r="855" spans="1:7" x14ac:dyDescent="0.25">
      <c r="A855" t="s">
        <v>7</v>
      </c>
      <c r="B855" t="s">
        <v>10</v>
      </c>
      <c r="C855" s="1">
        <v>43780</v>
      </c>
      <c r="D855">
        <v>2019</v>
      </c>
      <c r="E855">
        <v>11</v>
      </c>
      <c r="F855">
        <v>0</v>
      </c>
      <c r="G855" t="s">
        <v>9</v>
      </c>
    </row>
    <row r="856" spans="1:7" x14ac:dyDescent="0.25">
      <c r="A856" t="s">
        <v>7</v>
      </c>
      <c r="B856" t="s">
        <v>10</v>
      </c>
      <c r="C856" s="1">
        <v>43788</v>
      </c>
      <c r="D856">
        <v>2019</v>
      </c>
      <c r="E856">
        <v>11</v>
      </c>
      <c r="F856">
        <v>0</v>
      </c>
      <c r="G856" t="s">
        <v>9</v>
      </c>
    </row>
    <row r="857" spans="1:7" x14ac:dyDescent="0.25">
      <c r="A857" t="s">
        <v>7</v>
      </c>
      <c r="B857" t="s">
        <v>10</v>
      </c>
      <c r="C857" s="1">
        <v>43792</v>
      </c>
      <c r="D857">
        <v>2019</v>
      </c>
      <c r="E857">
        <v>11</v>
      </c>
      <c r="F857">
        <v>0</v>
      </c>
      <c r="G857" t="s">
        <v>9</v>
      </c>
    </row>
    <row r="858" spans="1:7" x14ac:dyDescent="0.25">
      <c r="A858" t="s">
        <v>7</v>
      </c>
      <c r="B858" t="s">
        <v>10</v>
      </c>
      <c r="C858" s="1">
        <v>43796</v>
      </c>
      <c r="D858">
        <v>2019</v>
      </c>
      <c r="E858">
        <v>11</v>
      </c>
      <c r="F858">
        <v>0</v>
      </c>
      <c r="G858" t="s">
        <v>9</v>
      </c>
    </row>
    <row r="859" spans="1:7" x14ac:dyDescent="0.25">
      <c r="A859" t="s">
        <v>7</v>
      </c>
      <c r="B859" t="s">
        <v>10</v>
      </c>
      <c r="C859" s="1">
        <v>43799</v>
      </c>
      <c r="D859">
        <v>2019</v>
      </c>
      <c r="E859">
        <v>11</v>
      </c>
      <c r="F859">
        <v>0</v>
      </c>
      <c r="G859" t="s">
        <v>9</v>
      </c>
    </row>
    <row r="860" spans="1:7" x14ac:dyDescent="0.25">
      <c r="A860" t="s">
        <v>7</v>
      </c>
      <c r="B860" t="s">
        <v>10</v>
      </c>
      <c r="C860" s="1">
        <v>43814</v>
      </c>
      <c r="D860">
        <v>2019</v>
      </c>
      <c r="E860">
        <v>12</v>
      </c>
      <c r="F860">
        <v>0</v>
      </c>
      <c r="G860" t="s">
        <v>9</v>
      </c>
    </row>
    <row r="861" spans="1:7" x14ac:dyDescent="0.25">
      <c r="A861" t="s">
        <v>7</v>
      </c>
      <c r="B861" t="s">
        <v>10</v>
      </c>
      <c r="C861" s="1">
        <v>43815</v>
      </c>
      <c r="D861">
        <v>2019</v>
      </c>
      <c r="E861">
        <v>12</v>
      </c>
      <c r="F861">
        <v>0</v>
      </c>
      <c r="G861" t="s">
        <v>9</v>
      </c>
    </row>
    <row r="862" spans="1:7" x14ac:dyDescent="0.25">
      <c r="A862" t="s">
        <v>7</v>
      </c>
      <c r="B862" t="s">
        <v>10</v>
      </c>
      <c r="C862" s="1">
        <v>43817</v>
      </c>
      <c r="D862">
        <v>2019</v>
      </c>
      <c r="E862">
        <v>12</v>
      </c>
      <c r="F862">
        <v>0</v>
      </c>
      <c r="G862" t="s">
        <v>9</v>
      </c>
    </row>
    <row r="863" spans="1:7" x14ac:dyDescent="0.25">
      <c r="A863" t="s">
        <v>7</v>
      </c>
      <c r="B863" t="s">
        <v>10</v>
      </c>
      <c r="C863" s="1">
        <v>43819</v>
      </c>
      <c r="D863">
        <v>2019</v>
      </c>
      <c r="E863">
        <v>12</v>
      </c>
      <c r="F863">
        <v>0</v>
      </c>
      <c r="G863" t="s">
        <v>9</v>
      </c>
    </row>
    <row r="864" spans="1:7" x14ac:dyDescent="0.25">
      <c r="A864" t="s">
        <v>7</v>
      </c>
      <c r="B864" t="s">
        <v>10</v>
      </c>
      <c r="C864" s="1">
        <v>43824</v>
      </c>
      <c r="D864">
        <v>2019</v>
      </c>
      <c r="E864">
        <v>12</v>
      </c>
      <c r="F864">
        <v>0</v>
      </c>
      <c r="G864" t="s">
        <v>9</v>
      </c>
    </row>
    <row r="865" spans="1:7" x14ac:dyDescent="0.25">
      <c r="A865" t="s">
        <v>7</v>
      </c>
      <c r="B865" t="s">
        <v>10</v>
      </c>
      <c r="C865" s="1">
        <v>43828</v>
      </c>
      <c r="D865">
        <v>2019</v>
      </c>
      <c r="E865">
        <v>12</v>
      </c>
      <c r="F865">
        <v>0.27743479599999998</v>
      </c>
      <c r="G865" t="s">
        <v>9</v>
      </c>
    </row>
    <row r="866" spans="1:7" x14ac:dyDescent="0.25">
      <c r="A866" t="s">
        <v>7</v>
      </c>
      <c r="B866" t="s">
        <v>11</v>
      </c>
      <c r="C866" s="1">
        <v>43476</v>
      </c>
      <c r="D866">
        <v>2019</v>
      </c>
      <c r="E866">
        <v>1</v>
      </c>
      <c r="F866">
        <v>0</v>
      </c>
      <c r="G866" t="s">
        <v>9</v>
      </c>
    </row>
    <row r="867" spans="1:7" x14ac:dyDescent="0.25">
      <c r="A867" t="s">
        <v>7</v>
      </c>
      <c r="B867" t="s">
        <v>11</v>
      </c>
      <c r="C867" s="1">
        <v>43479</v>
      </c>
      <c r="D867">
        <v>2019</v>
      </c>
      <c r="E867">
        <v>1</v>
      </c>
      <c r="F867">
        <v>0</v>
      </c>
      <c r="G867" t="s">
        <v>9</v>
      </c>
    </row>
    <row r="868" spans="1:7" x14ac:dyDescent="0.25">
      <c r="A868" t="s">
        <v>7</v>
      </c>
      <c r="B868" t="s">
        <v>11</v>
      </c>
      <c r="C868" s="1">
        <v>43481</v>
      </c>
      <c r="D868">
        <v>2019</v>
      </c>
      <c r="E868">
        <v>1</v>
      </c>
      <c r="F868">
        <v>0</v>
      </c>
      <c r="G868" t="s">
        <v>9</v>
      </c>
    </row>
    <row r="869" spans="1:7" x14ac:dyDescent="0.25">
      <c r="A869" t="s">
        <v>7</v>
      </c>
      <c r="B869" t="s">
        <v>11</v>
      </c>
      <c r="C869" s="1">
        <v>43486</v>
      </c>
      <c r="D869">
        <v>2019</v>
      </c>
      <c r="E869">
        <v>1</v>
      </c>
      <c r="F869">
        <v>0</v>
      </c>
      <c r="G869" t="s">
        <v>9</v>
      </c>
    </row>
    <row r="870" spans="1:7" x14ac:dyDescent="0.25">
      <c r="A870" t="s">
        <v>7</v>
      </c>
      <c r="B870" t="s">
        <v>11</v>
      </c>
      <c r="C870" s="1">
        <v>43501</v>
      </c>
      <c r="D870">
        <v>2019</v>
      </c>
      <c r="E870">
        <v>2</v>
      </c>
      <c r="F870">
        <v>9.1658143019999994</v>
      </c>
      <c r="G870" t="s">
        <v>9</v>
      </c>
    </row>
    <row r="871" spans="1:7" x14ac:dyDescent="0.25">
      <c r="A871" t="s">
        <v>7</v>
      </c>
      <c r="B871" t="s">
        <v>11</v>
      </c>
      <c r="C871" s="1">
        <v>43508</v>
      </c>
      <c r="D871">
        <v>2019</v>
      </c>
      <c r="E871">
        <v>2</v>
      </c>
      <c r="F871">
        <v>0</v>
      </c>
      <c r="G871" t="s">
        <v>9</v>
      </c>
    </row>
    <row r="872" spans="1:7" x14ac:dyDescent="0.25">
      <c r="A872" t="s">
        <v>7</v>
      </c>
      <c r="B872" t="s">
        <v>11</v>
      </c>
      <c r="C872" s="1">
        <v>43510</v>
      </c>
      <c r="D872">
        <v>2019</v>
      </c>
      <c r="E872">
        <v>2</v>
      </c>
      <c r="F872">
        <v>0</v>
      </c>
      <c r="G872" t="s">
        <v>9</v>
      </c>
    </row>
    <row r="873" spans="1:7" x14ac:dyDescent="0.25">
      <c r="A873" t="s">
        <v>7</v>
      </c>
      <c r="B873" t="s">
        <v>11</v>
      </c>
      <c r="C873" s="1">
        <v>43519</v>
      </c>
      <c r="D873">
        <v>2019</v>
      </c>
      <c r="E873">
        <v>2</v>
      </c>
      <c r="F873">
        <v>0</v>
      </c>
      <c r="G873" t="s">
        <v>9</v>
      </c>
    </row>
    <row r="874" spans="1:7" x14ac:dyDescent="0.25">
      <c r="A874" t="s">
        <v>7</v>
      </c>
      <c r="B874" t="s">
        <v>11</v>
      </c>
      <c r="C874" s="1">
        <v>43525</v>
      </c>
      <c r="D874">
        <v>2019</v>
      </c>
      <c r="E874">
        <v>3</v>
      </c>
      <c r="F874">
        <v>0.33684079099999997</v>
      </c>
      <c r="G874" t="s">
        <v>9</v>
      </c>
    </row>
    <row r="875" spans="1:7" x14ac:dyDescent="0.25">
      <c r="A875" t="s">
        <v>7</v>
      </c>
      <c r="B875" t="s">
        <v>11</v>
      </c>
      <c r="C875" s="1">
        <v>43528</v>
      </c>
      <c r="D875">
        <v>2019</v>
      </c>
      <c r="E875">
        <v>3</v>
      </c>
      <c r="F875">
        <v>0</v>
      </c>
      <c r="G875" t="s">
        <v>9</v>
      </c>
    </row>
    <row r="876" spans="1:7" x14ac:dyDescent="0.25">
      <c r="A876" t="s">
        <v>7</v>
      </c>
      <c r="B876" t="s">
        <v>11</v>
      </c>
      <c r="C876" s="1">
        <v>43534</v>
      </c>
      <c r="D876">
        <v>2019</v>
      </c>
      <c r="E876">
        <v>3</v>
      </c>
      <c r="F876">
        <v>0</v>
      </c>
      <c r="G876" t="s">
        <v>9</v>
      </c>
    </row>
    <row r="877" spans="1:7" x14ac:dyDescent="0.25">
      <c r="A877" t="s">
        <v>7</v>
      </c>
      <c r="B877" t="s">
        <v>11</v>
      </c>
      <c r="C877" s="1">
        <v>43549</v>
      </c>
      <c r="D877">
        <v>2019</v>
      </c>
      <c r="E877">
        <v>3</v>
      </c>
      <c r="F877">
        <v>0</v>
      </c>
      <c r="G877" t="s">
        <v>9</v>
      </c>
    </row>
    <row r="878" spans="1:7" x14ac:dyDescent="0.25">
      <c r="A878" t="s">
        <v>7</v>
      </c>
      <c r="B878" t="s">
        <v>11</v>
      </c>
      <c r="C878" s="1">
        <v>43554</v>
      </c>
      <c r="D878">
        <v>2019</v>
      </c>
      <c r="E878">
        <v>3</v>
      </c>
      <c r="F878">
        <v>0</v>
      </c>
      <c r="G878" t="s">
        <v>9</v>
      </c>
    </row>
    <row r="879" spans="1:7" x14ac:dyDescent="0.25">
      <c r="A879" t="s">
        <v>7</v>
      </c>
      <c r="B879" t="s">
        <v>11</v>
      </c>
      <c r="C879" s="1">
        <v>43559</v>
      </c>
      <c r="D879">
        <v>2019</v>
      </c>
      <c r="E879">
        <v>4</v>
      </c>
      <c r="F879">
        <v>0</v>
      </c>
      <c r="G879" t="s">
        <v>9</v>
      </c>
    </row>
    <row r="880" spans="1:7" x14ac:dyDescent="0.25">
      <c r="A880" t="s">
        <v>7</v>
      </c>
      <c r="B880" t="s">
        <v>11</v>
      </c>
      <c r="C880" s="1">
        <v>43467</v>
      </c>
      <c r="D880">
        <v>2019</v>
      </c>
      <c r="E880">
        <v>1</v>
      </c>
      <c r="F880">
        <v>0</v>
      </c>
      <c r="G880" t="s">
        <v>9</v>
      </c>
    </row>
    <row r="881" spans="1:7" x14ac:dyDescent="0.25">
      <c r="A881" t="s">
        <v>7</v>
      </c>
      <c r="B881" t="s">
        <v>11</v>
      </c>
      <c r="C881" s="1">
        <v>43474</v>
      </c>
      <c r="D881">
        <v>2019</v>
      </c>
      <c r="E881">
        <v>1</v>
      </c>
      <c r="F881">
        <v>0</v>
      </c>
      <c r="G881" t="s">
        <v>9</v>
      </c>
    </row>
    <row r="882" spans="1:7" x14ac:dyDescent="0.25">
      <c r="A882" t="s">
        <v>7</v>
      </c>
      <c r="B882" t="s">
        <v>11</v>
      </c>
      <c r="C882" s="1">
        <v>43478</v>
      </c>
      <c r="D882">
        <v>2019</v>
      </c>
      <c r="E882">
        <v>1</v>
      </c>
      <c r="F882">
        <v>0</v>
      </c>
      <c r="G882" t="s">
        <v>9</v>
      </c>
    </row>
    <row r="883" spans="1:7" x14ac:dyDescent="0.25">
      <c r="A883" t="s">
        <v>7</v>
      </c>
      <c r="B883" t="s">
        <v>11</v>
      </c>
      <c r="C883" s="1">
        <v>43490</v>
      </c>
      <c r="D883">
        <v>2019</v>
      </c>
      <c r="E883">
        <v>1</v>
      </c>
      <c r="F883">
        <v>0</v>
      </c>
      <c r="G883" t="s">
        <v>9</v>
      </c>
    </row>
    <row r="884" spans="1:7" x14ac:dyDescent="0.25">
      <c r="A884" t="s">
        <v>7</v>
      </c>
      <c r="B884" t="s">
        <v>11</v>
      </c>
      <c r="C884" s="1">
        <v>43491</v>
      </c>
      <c r="D884">
        <v>2019</v>
      </c>
      <c r="E884">
        <v>1</v>
      </c>
      <c r="F884">
        <v>0</v>
      </c>
      <c r="G884" t="s">
        <v>9</v>
      </c>
    </row>
    <row r="885" spans="1:7" x14ac:dyDescent="0.25">
      <c r="A885" t="s">
        <v>7</v>
      </c>
      <c r="B885" t="s">
        <v>11</v>
      </c>
      <c r="C885" s="1">
        <v>43503</v>
      </c>
      <c r="D885">
        <v>2019</v>
      </c>
      <c r="E885">
        <v>2</v>
      </c>
      <c r="F885">
        <v>0</v>
      </c>
      <c r="G885" t="s">
        <v>9</v>
      </c>
    </row>
    <row r="886" spans="1:7" x14ac:dyDescent="0.25">
      <c r="A886" t="s">
        <v>7</v>
      </c>
      <c r="B886" t="s">
        <v>11</v>
      </c>
      <c r="C886" s="1">
        <v>43513</v>
      </c>
      <c r="D886">
        <v>2019</v>
      </c>
      <c r="E886">
        <v>2</v>
      </c>
      <c r="F886">
        <v>0</v>
      </c>
      <c r="G886" t="s">
        <v>9</v>
      </c>
    </row>
    <row r="887" spans="1:7" x14ac:dyDescent="0.25">
      <c r="A887" t="s">
        <v>7</v>
      </c>
      <c r="B887" t="s">
        <v>11</v>
      </c>
      <c r="C887" s="1">
        <v>43523</v>
      </c>
      <c r="D887">
        <v>2019</v>
      </c>
      <c r="E887">
        <v>2</v>
      </c>
      <c r="F887">
        <v>0</v>
      </c>
      <c r="G887" t="s">
        <v>9</v>
      </c>
    </row>
    <row r="888" spans="1:7" x14ac:dyDescent="0.25">
      <c r="A888" t="s">
        <v>7</v>
      </c>
      <c r="B888" t="s">
        <v>11</v>
      </c>
      <c r="C888" s="1">
        <v>43532</v>
      </c>
      <c r="D888">
        <v>2019</v>
      </c>
      <c r="E888">
        <v>3</v>
      </c>
      <c r="F888">
        <v>0</v>
      </c>
      <c r="G888" t="s">
        <v>9</v>
      </c>
    </row>
    <row r="889" spans="1:7" x14ac:dyDescent="0.25">
      <c r="A889" t="s">
        <v>7</v>
      </c>
      <c r="B889" t="s">
        <v>11</v>
      </c>
      <c r="C889" s="1">
        <v>43544</v>
      </c>
      <c r="D889">
        <v>2019</v>
      </c>
      <c r="E889">
        <v>3</v>
      </c>
      <c r="F889">
        <v>0</v>
      </c>
      <c r="G889" t="s">
        <v>9</v>
      </c>
    </row>
    <row r="890" spans="1:7" x14ac:dyDescent="0.25">
      <c r="A890" t="s">
        <v>7</v>
      </c>
      <c r="B890" t="s">
        <v>11</v>
      </c>
      <c r="C890" s="1">
        <v>43547</v>
      </c>
      <c r="D890">
        <v>2019</v>
      </c>
      <c r="E890">
        <v>3</v>
      </c>
      <c r="F890">
        <v>0</v>
      </c>
      <c r="G890" t="s">
        <v>9</v>
      </c>
    </row>
    <row r="891" spans="1:7" x14ac:dyDescent="0.25">
      <c r="A891" t="s">
        <v>7</v>
      </c>
      <c r="B891" t="s">
        <v>11</v>
      </c>
      <c r="C891" s="1">
        <v>43576</v>
      </c>
      <c r="D891">
        <v>2019</v>
      </c>
      <c r="E891">
        <v>4</v>
      </c>
      <c r="F891">
        <v>0</v>
      </c>
      <c r="G891" t="s">
        <v>9</v>
      </c>
    </row>
    <row r="892" spans="1:7" x14ac:dyDescent="0.25">
      <c r="A892" t="s">
        <v>7</v>
      </c>
      <c r="B892" t="s">
        <v>11</v>
      </c>
      <c r="C892" s="1">
        <v>43600</v>
      </c>
      <c r="D892">
        <v>2019</v>
      </c>
      <c r="E892">
        <v>5</v>
      </c>
      <c r="F892">
        <v>0</v>
      </c>
      <c r="G892" t="s">
        <v>9</v>
      </c>
    </row>
    <row r="893" spans="1:7" x14ac:dyDescent="0.25">
      <c r="A893" t="s">
        <v>7</v>
      </c>
      <c r="B893" t="s">
        <v>11</v>
      </c>
      <c r="C893" s="1">
        <v>43601</v>
      </c>
      <c r="D893">
        <v>2019</v>
      </c>
      <c r="E893">
        <v>5</v>
      </c>
      <c r="F893">
        <v>0</v>
      </c>
      <c r="G893" t="s">
        <v>9</v>
      </c>
    </row>
    <row r="894" spans="1:7" x14ac:dyDescent="0.25">
      <c r="A894" t="s">
        <v>7</v>
      </c>
      <c r="B894" t="s">
        <v>11</v>
      </c>
      <c r="C894" s="1">
        <v>43603</v>
      </c>
      <c r="D894">
        <v>2019</v>
      </c>
      <c r="E894">
        <v>5</v>
      </c>
      <c r="F894">
        <v>0</v>
      </c>
      <c r="G894" t="s">
        <v>9</v>
      </c>
    </row>
    <row r="895" spans="1:7" x14ac:dyDescent="0.25">
      <c r="A895" t="s">
        <v>7</v>
      </c>
      <c r="B895" t="s">
        <v>11</v>
      </c>
      <c r="C895" s="1">
        <v>43616</v>
      </c>
      <c r="D895">
        <v>2019</v>
      </c>
      <c r="E895">
        <v>5</v>
      </c>
      <c r="F895">
        <v>0</v>
      </c>
      <c r="G895" t="s">
        <v>9</v>
      </c>
    </row>
    <row r="896" spans="1:7" x14ac:dyDescent="0.25">
      <c r="A896" t="s">
        <v>7</v>
      </c>
      <c r="B896" t="s">
        <v>11</v>
      </c>
      <c r="C896" s="1">
        <v>43619</v>
      </c>
      <c r="D896">
        <v>2019</v>
      </c>
      <c r="E896">
        <v>6</v>
      </c>
      <c r="F896">
        <v>0</v>
      </c>
      <c r="G896" t="s">
        <v>9</v>
      </c>
    </row>
    <row r="897" spans="1:7" x14ac:dyDescent="0.25">
      <c r="A897" t="s">
        <v>7</v>
      </c>
      <c r="B897" t="s">
        <v>11</v>
      </c>
      <c r="C897" s="1">
        <v>43623</v>
      </c>
      <c r="D897">
        <v>2019</v>
      </c>
      <c r="E897">
        <v>6</v>
      </c>
      <c r="F897">
        <v>0</v>
      </c>
      <c r="G897" t="s">
        <v>9</v>
      </c>
    </row>
    <row r="898" spans="1:7" x14ac:dyDescent="0.25">
      <c r="A898" t="s">
        <v>7</v>
      </c>
      <c r="B898" t="s">
        <v>11</v>
      </c>
      <c r="C898" s="1">
        <v>43627</v>
      </c>
      <c r="D898">
        <v>2019</v>
      </c>
      <c r="E898">
        <v>6</v>
      </c>
      <c r="F898">
        <v>0</v>
      </c>
      <c r="G898" t="s">
        <v>9</v>
      </c>
    </row>
    <row r="899" spans="1:7" x14ac:dyDescent="0.25">
      <c r="A899" t="s">
        <v>7</v>
      </c>
      <c r="B899" t="s">
        <v>11</v>
      </c>
      <c r="C899" s="1">
        <v>43633</v>
      </c>
      <c r="D899">
        <v>2019</v>
      </c>
      <c r="E899">
        <v>6</v>
      </c>
      <c r="F899">
        <v>0</v>
      </c>
      <c r="G899" t="s">
        <v>9</v>
      </c>
    </row>
    <row r="900" spans="1:7" x14ac:dyDescent="0.25">
      <c r="A900" t="s">
        <v>7</v>
      </c>
      <c r="B900" t="s">
        <v>11</v>
      </c>
      <c r="C900" s="1">
        <v>43634</v>
      </c>
      <c r="D900">
        <v>2019</v>
      </c>
      <c r="E900">
        <v>6</v>
      </c>
      <c r="F900">
        <v>0</v>
      </c>
      <c r="G900" t="s">
        <v>9</v>
      </c>
    </row>
    <row r="901" spans="1:7" x14ac:dyDescent="0.25">
      <c r="A901" t="s">
        <v>7</v>
      </c>
      <c r="B901" t="s">
        <v>11</v>
      </c>
      <c r="C901" s="1">
        <v>43635</v>
      </c>
      <c r="D901">
        <v>2019</v>
      </c>
      <c r="E901">
        <v>6</v>
      </c>
      <c r="F901">
        <v>0</v>
      </c>
      <c r="G901" t="s">
        <v>9</v>
      </c>
    </row>
    <row r="902" spans="1:7" x14ac:dyDescent="0.25">
      <c r="A902" t="s">
        <v>7</v>
      </c>
      <c r="B902" t="s">
        <v>11</v>
      </c>
      <c r="C902" s="1">
        <v>43639</v>
      </c>
      <c r="D902">
        <v>2019</v>
      </c>
      <c r="E902">
        <v>6</v>
      </c>
      <c r="F902">
        <v>0</v>
      </c>
      <c r="G902" t="s">
        <v>9</v>
      </c>
    </row>
    <row r="903" spans="1:7" x14ac:dyDescent="0.25">
      <c r="A903" t="s">
        <v>7</v>
      </c>
      <c r="B903" t="s">
        <v>11</v>
      </c>
      <c r="C903" s="1">
        <v>43647</v>
      </c>
      <c r="D903">
        <v>2019</v>
      </c>
      <c r="E903">
        <v>7</v>
      </c>
      <c r="F903">
        <v>0</v>
      </c>
      <c r="G903" t="s">
        <v>9</v>
      </c>
    </row>
    <row r="904" spans="1:7" x14ac:dyDescent="0.25">
      <c r="A904" t="s">
        <v>7</v>
      </c>
      <c r="B904" t="s">
        <v>11</v>
      </c>
      <c r="C904" s="1">
        <v>43652</v>
      </c>
      <c r="D904">
        <v>2019</v>
      </c>
      <c r="E904">
        <v>7</v>
      </c>
      <c r="F904">
        <v>0</v>
      </c>
      <c r="G904" t="s">
        <v>9</v>
      </c>
    </row>
    <row r="905" spans="1:7" x14ac:dyDescent="0.25">
      <c r="A905" t="s">
        <v>7</v>
      </c>
      <c r="B905" t="s">
        <v>11</v>
      </c>
      <c r="C905" s="1">
        <v>43658</v>
      </c>
      <c r="D905">
        <v>2019</v>
      </c>
      <c r="E905">
        <v>7</v>
      </c>
      <c r="F905">
        <v>0</v>
      </c>
      <c r="G905" t="s">
        <v>9</v>
      </c>
    </row>
    <row r="906" spans="1:7" x14ac:dyDescent="0.25">
      <c r="A906" t="s">
        <v>7</v>
      </c>
      <c r="B906" t="s">
        <v>11</v>
      </c>
      <c r="C906" s="1">
        <v>43659</v>
      </c>
      <c r="D906">
        <v>2019</v>
      </c>
      <c r="E906">
        <v>7</v>
      </c>
      <c r="F906">
        <v>0</v>
      </c>
      <c r="G906" t="s">
        <v>9</v>
      </c>
    </row>
    <row r="907" spans="1:7" x14ac:dyDescent="0.25">
      <c r="A907" t="s">
        <v>7</v>
      </c>
      <c r="B907" t="s">
        <v>11</v>
      </c>
      <c r="C907" s="1">
        <v>43666</v>
      </c>
      <c r="D907">
        <v>2019</v>
      </c>
      <c r="E907">
        <v>7</v>
      </c>
      <c r="F907">
        <v>0.53703348799999995</v>
      </c>
      <c r="G907" t="s">
        <v>9</v>
      </c>
    </row>
    <row r="908" spans="1:7" x14ac:dyDescent="0.25">
      <c r="A908" t="s">
        <v>7</v>
      </c>
      <c r="B908" t="s">
        <v>11</v>
      </c>
      <c r="C908" s="1">
        <v>43668</v>
      </c>
      <c r="D908">
        <v>2019</v>
      </c>
      <c r="E908">
        <v>7</v>
      </c>
      <c r="F908">
        <v>0.50526117299999995</v>
      </c>
      <c r="G908" t="s">
        <v>9</v>
      </c>
    </row>
    <row r="909" spans="1:7" x14ac:dyDescent="0.25">
      <c r="A909" t="s">
        <v>7</v>
      </c>
      <c r="B909" t="s">
        <v>11</v>
      </c>
      <c r="C909" s="1">
        <v>43670</v>
      </c>
      <c r="D909">
        <v>2019</v>
      </c>
      <c r="E909">
        <v>7</v>
      </c>
      <c r="F909">
        <v>0</v>
      </c>
      <c r="G909" t="s">
        <v>9</v>
      </c>
    </row>
    <row r="910" spans="1:7" x14ac:dyDescent="0.25">
      <c r="A910" t="s">
        <v>7</v>
      </c>
      <c r="B910" t="s">
        <v>11</v>
      </c>
      <c r="C910" s="1">
        <v>43675</v>
      </c>
      <c r="D910">
        <v>2019</v>
      </c>
      <c r="E910">
        <v>7</v>
      </c>
      <c r="F910">
        <v>0.113891188</v>
      </c>
      <c r="G910" t="s">
        <v>9</v>
      </c>
    </row>
    <row r="911" spans="1:7" x14ac:dyDescent="0.25">
      <c r="A911" t="s">
        <v>7</v>
      </c>
      <c r="B911" t="s">
        <v>11</v>
      </c>
      <c r="C911" s="1">
        <v>43686</v>
      </c>
      <c r="D911">
        <v>2019</v>
      </c>
      <c r="E911">
        <v>8</v>
      </c>
      <c r="F911">
        <v>0</v>
      </c>
      <c r="G911" t="s">
        <v>9</v>
      </c>
    </row>
    <row r="912" spans="1:7" x14ac:dyDescent="0.25">
      <c r="A912" t="s">
        <v>7</v>
      </c>
      <c r="B912" t="s">
        <v>11</v>
      </c>
      <c r="C912" s="1">
        <v>43687</v>
      </c>
      <c r="D912">
        <v>2019</v>
      </c>
      <c r="E912">
        <v>8</v>
      </c>
      <c r="F912">
        <v>0</v>
      </c>
      <c r="G912" t="s">
        <v>9</v>
      </c>
    </row>
    <row r="913" spans="1:7" x14ac:dyDescent="0.25">
      <c r="A913" t="s">
        <v>7</v>
      </c>
      <c r="B913" t="s">
        <v>11</v>
      </c>
      <c r="C913" s="1">
        <v>43691</v>
      </c>
      <c r="D913">
        <v>2019</v>
      </c>
      <c r="E913">
        <v>8</v>
      </c>
      <c r="F913">
        <v>0.80293294000000004</v>
      </c>
      <c r="G913" t="s">
        <v>9</v>
      </c>
    </row>
    <row r="914" spans="1:7" x14ac:dyDescent="0.25">
      <c r="A914" t="s">
        <v>7</v>
      </c>
      <c r="B914" t="s">
        <v>11</v>
      </c>
      <c r="C914" s="1">
        <v>43693</v>
      </c>
      <c r="D914">
        <v>2019</v>
      </c>
      <c r="E914">
        <v>8</v>
      </c>
      <c r="F914">
        <v>7.2001261999999996E-2</v>
      </c>
      <c r="G914" t="s">
        <v>9</v>
      </c>
    </row>
    <row r="915" spans="1:7" x14ac:dyDescent="0.25">
      <c r="A915" t="s">
        <v>7</v>
      </c>
      <c r="B915" t="s">
        <v>11</v>
      </c>
      <c r="C915" s="1">
        <v>43694</v>
      </c>
      <c r="D915">
        <v>2019</v>
      </c>
      <c r="E915">
        <v>8</v>
      </c>
      <c r="F915">
        <v>19.723949990000001</v>
      </c>
      <c r="G915" t="s">
        <v>9</v>
      </c>
    </row>
    <row r="916" spans="1:7" x14ac:dyDescent="0.25">
      <c r="A916" t="s">
        <v>7</v>
      </c>
      <c r="B916" t="s">
        <v>11</v>
      </c>
      <c r="C916" s="1">
        <v>43698</v>
      </c>
      <c r="D916">
        <v>2019</v>
      </c>
      <c r="E916">
        <v>8</v>
      </c>
      <c r="F916">
        <v>5.4741565679999997</v>
      </c>
      <c r="G916" t="s">
        <v>9</v>
      </c>
    </row>
    <row r="917" spans="1:7" x14ac:dyDescent="0.25">
      <c r="A917" t="s">
        <v>7</v>
      </c>
      <c r="B917" t="s">
        <v>11</v>
      </c>
      <c r="C917" s="1">
        <v>43700</v>
      </c>
      <c r="D917">
        <v>2019</v>
      </c>
      <c r="E917">
        <v>8</v>
      </c>
      <c r="F917">
        <v>23.774363229999999</v>
      </c>
      <c r="G917" t="s">
        <v>9</v>
      </c>
    </row>
    <row r="918" spans="1:7" x14ac:dyDescent="0.25">
      <c r="A918" t="s">
        <v>7</v>
      </c>
      <c r="B918" t="s">
        <v>11</v>
      </c>
      <c r="C918" s="1">
        <v>43711</v>
      </c>
      <c r="D918">
        <v>2019</v>
      </c>
      <c r="E918">
        <v>9</v>
      </c>
      <c r="F918">
        <v>4.4372612999999998E-2</v>
      </c>
      <c r="G918" t="s">
        <v>9</v>
      </c>
    </row>
    <row r="919" spans="1:7" x14ac:dyDescent="0.25">
      <c r="A919" t="s">
        <v>7</v>
      </c>
      <c r="B919" t="s">
        <v>11</v>
      </c>
      <c r="C919" s="1">
        <v>43713</v>
      </c>
      <c r="D919">
        <v>2019</v>
      </c>
      <c r="E919">
        <v>9</v>
      </c>
      <c r="F919">
        <v>1.5090083569999999</v>
      </c>
      <c r="G919" t="s">
        <v>9</v>
      </c>
    </row>
    <row r="920" spans="1:7" x14ac:dyDescent="0.25">
      <c r="A920" t="s">
        <v>7</v>
      </c>
      <c r="B920" t="s">
        <v>11</v>
      </c>
      <c r="C920" s="1">
        <v>43715</v>
      </c>
      <c r="D920">
        <v>2019</v>
      </c>
      <c r="E920">
        <v>9</v>
      </c>
      <c r="F920">
        <v>0</v>
      </c>
      <c r="G920" t="s">
        <v>9</v>
      </c>
    </row>
    <row r="921" spans="1:7" x14ac:dyDescent="0.25">
      <c r="A921" t="s">
        <v>7</v>
      </c>
      <c r="B921" t="s">
        <v>11</v>
      </c>
      <c r="C921" s="1">
        <v>43721</v>
      </c>
      <c r="D921">
        <v>2019</v>
      </c>
      <c r="E921">
        <v>9</v>
      </c>
      <c r="F921">
        <v>4.4139799670000004</v>
      </c>
      <c r="G921" t="s">
        <v>9</v>
      </c>
    </row>
    <row r="922" spans="1:7" x14ac:dyDescent="0.25">
      <c r="A922" t="s">
        <v>7</v>
      </c>
      <c r="B922" t="s">
        <v>11</v>
      </c>
      <c r="C922" s="1">
        <v>43726</v>
      </c>
      <c r="D922">
        <v>2019</v>
      </c>
      <c r="E922">
        <v>9</v>
      </c>
      <c r="F922">
        <v>32.593219329999997</v>
      </c>
      <c r="G922" t="s">
        <v>9</v>
      </c>
    </row>
    <row r="923" spans="1:7" x14ac:dyDescent="0.25">
      <c r="A923" t="s">
        <v>7</v>
      </c>
      <c r="B923" t="s">
        <v>11</v>
      </c>
      <c r="C923" s="1">
        <v>43729</v>
      </c>
      <c r="D923">
        <v>2019</v>
      </c>
      <c r="E923">
        <v>9</v>
      </c>
      <c r="F923">
        <v>0.102779131</v>
      </c>
      <c r="G923" t="s">
        <v>9</v>
      </c>
    </row>
    <row r="924" spans="1:7" x14ac:dyDescent="0.25">
      <c r="A924" t="s">
        <v>7</v>
      </c>
      <c r="B924" t="s">
        <v>11</v>
      </c>
      <c r="C924" s="1">
        <v>43738</v>
      </c>
      <c r="D924">
        <v>2019</v>
      </c>
      <c r="E924">
        <v>9</v>
      </c>
      <c r="F924">
        <v>32.057342329999997</v>
      </c>
      <c r="G924" t="s">
        <v>9</v>
      </c>
    </row>
    <row r="925" spans="1:7" x14ac:dyDescent="0.25">
      <c r="A925" t="s">
        <v>7</v>
      </c>
      <c r="B925" t="s">
        <v>11</v>
      </c>
      <c r="C925" s="1">
        <v>43749</v>
      </c>
      <c r="D925">
        <v>2019</v>
      </c>
      <c r="E925">
        <v>10</v>
      </c>
      <c r="F925">
        <v>0</v>
      </c>
      <c r="G925" t="s">
        <v>9</v>
      </c>
    </row>
    <row r="926" spans="1:7" x14ac:dyDescent="0.25">
      <c r="A926" t="s">
        <v>7</v>
      </c>
      <c r="B926" t="s">
        <v>11</v>
      </c>
      <c r="C926" s="1">
        <v>43751</v>
      </c>
      <c r="D926">
        <v>2019</v>
      </c>
      <c r="E926">
        <v>10</v>
      </c>
      <c r="F926">
        <v>2.8000491999999998E-2</v>
      </c>
      <c r="G926" t="s">
        <v>9</v>
      </c>
    </row>
    <row r="927" spans="1:7" x14ac:dyDescent="0.25">
      <c r="A927" t="s">
        <v>7</v>
      </c>
      <c r="B927" t="s">
        <v>11</v>
      </c>
      <c r="C927" s="1">
        <v>43752</v>
      </c>
      <c r="D927">
        <v>2019</v>
      </c>
      <c r="E927">
        <v>10</v>
      </c>
      <c r="F927">
        <v>1.45665136</v>
      </c>
      <c r="G927" t="s">
        <v>9</v>
      </c>
    </row>
    <row r="928" spans="1:7" x14ac:dyDescent="0.25">
      <c r="A928" t="s">
        <v>7</v>
      </c>
      <c r="B928" t="s">
        <v>11</v>
      </c>
      <c r="C928" s="1">
        <v>43755</v>
      </c>
      <c r="D928">
        <v>2019</v>
      </c>
      <c r="E928">
        <v>10</v>
      </c>
      <c r="F928">
        <v>42.622583740000003</v>
      </c>
      <c r="G928" t="s">
        <v>9</v>
      </c>
    </row>
    <row r="929" spans="1:7" x14ac:dyDescent="0.25">
      <c r="A929" t="s">
        <v>7</v>
      </c>
      <c r="B929" t="s">
        <v>11</v>
      </c>
      <c r="C929" s="1">
        <v>43762</v>
      </c>
      <c r="D929">
        <v>2019</v>
      </c>
      <c r="E929">
        <v>10</v>
      </c>
      <c r="F929">
        <v>21.04420142</v>
      </c>
      <c r="G929" t="s">
        <v>9</v>
      </c>
    </row>
    <row r="930" spans="1:7" x14ac:dyDescent="0.25">
      <c r="A930" t="s">
        <v>7</v>
      </c>
      <c r="B930" t="s">
        <v>11</v>
      </c>
      <c r="C930" s="1">
        <v>43761</v>
      </c>
      <c r="D930">
        <v>2019</v>
      </c>
      <c r="E930">
        <v>10</v>
      </c>
      <c r="F930">
        <v>0.53352147400000005</v>
      </c>
      <c r="G930" t="s">
        <v>9</v>
      </c>
    </row>
    <row r="931" spans="1:7" x14ac:dyDescent="0.25">
      <c r="A931" t="s">
        <v>7</v>
      </c>
      <c r="B931" t="s">
        <v>11</v>
      </c>
      <c r="C931" s="1">
        <v>43765</v>
      </c>
      <c r="D931">
        <v>2019</v>
      </c>
      <c r="E931">
        <v>10</v>
      </c>
      <c r="F931">
        <v>0.67034439400000001</v>
      </c>
      <c r="G931" t="s">
        <v>9</v>
      </c>
    </row>
    <row r="932" spans="1:7" x14ac:dyDescent="0.25">
      <c r="A932" t="s">
        <v>7</v>
      </c>
      <c r="B932" t="s">
        <v>11</v>
      </c>
      <c r="C932" s="1">
        <v>43770</v>
      </c>
      <c r="D932">
        <v>2019</v>
      </c>
      <c r="E932">
        <v>11</v>
      </c>
      <c r="F932">
        <v>1.8222590009999999</v>
      </c>
      <c r="G932" t="s">
        <v>9</v>
      </c>
    </row>
    <row r="933" spans="1:7" x14ac:dyDescent="0.25">
      <c r="A933" t="s">
        <v>7</v>
      </c>
      <c r="B933" t="s">
        <v>11</v>
      </c>
      <c r="C933" s="1">
        <v>43773</v>
      </c>
      <c r="D933">
        <v>2019</v>
      </c>
      <c r="E933">
        <v>11</v>
      </c>
      <c r="F933">
        <v>0.20972518900000001</v>
      </c>
      <c r="G933" t="s">
        <v>9</v>
      </c>
    </row>
    <row r="934" spans="1:7" x14ac:dyDescent="0.25">
      <c r="A934" t="s">
        <v>7</v>
      </c>
      <c r="B934" t="s">
        <v>11</v>
      </c>
      <c r="C934" s="1">
        <v>43780</v>
      </c>
      <c r="D934">
        <v>2019</v>
      </c>
      <c r="E934">
        <v>11</v>
      </c>
      <c r="F934">
        <v>0</v>
      </c>
      <c r="G934" t="s">
        <v>9</v>
      </c>
    </row>
    <row r="935" spans="1:7" x14ac:dyDescent="0.25">
      <c r="A935" t="s">
        <v>7</v>
      </c>
      <c r="B935" t="s">
        <v>11</v>
      </c>
      <c r="C935" s="1">
        <v>43781</v>
      </c>
      <c r="D935">
        <v>2019</v>
      </c>
      <c r="E935">
        <v>11</v>
      </c>
      <c r="F935">
        <v>0.56945596399999998</v>
      </c>
      <c r="G935" t="s">
        <v>9</v>
      </c>
    </row>
    <row r="936" spans="1:7" x14ac:dyDescent="0.25">
      <c r="A936" t="s">
        <v>7</v>
      </c>
      <c r="B936" t="s">
        <v>11</v>
      </c>
      <c r="C936" s="1">
        <v>43788</v>
      </c>
      <c r="D936">
        <v>2019</v>
      </c>
      <c r="E936">
        <v>11</v>
      </c>
      <c r="F936">
        <v>10.34708833</v>
      </c>
      <c r="G936" t="s">
        <v>9</v>
      </c>
    </row>
    <row r="937" spans="1:7" x14ac:dyDescent="0.25">
      <c r="A937" t="s">
        <v>7</v>
      </c>
      <c r="B937" t="s">
        <v>11</v>
      </c>
      <c r="C937" s="1">
        <v>43791</v>
      </c>
      <c r="D937">
        <v>2019</v>
      </c>
      <c r="E937">
        <v>11</v>
      </c>
      <c r="F937">
        <v>26.459544489999999</v>
      </c>
      <c r="G937" t="s">
        <v>9</v>
      </c>
    </row>
    <row r="938" spans="1:7" x14ac:dyDescent="0.25">
      <c r="A938" t="s">
        <v>7</v>
      </c>
      <c r="B938" t="s">
        <v>11</v>
      </c>
      <c r="C938" s="1">
        <v>43793</v>
      </c>
      <c r="D938">
        <v>2019</v>
      </c>
      <c r="E938">
        <v>11</v>
      </c>
      <c r="F938">
        <v>54.617709560000002</v>
      </c>
      <c r="G938" t="s">
        <v>9</v>
      </c>
    </row>
    <row r="939" spans="1:7" x14ac:dyDescent="0.25">
      <c r="A939" t="s">
        <v>7</v>
      </c>
      <c r="B939" t="s">
        <v>11</v>
      </c>
      <c r="C939" s="1">
        <v>43807</v>
      </c>
      <c r="D939">
        <v>2019</v>
      </c>
      <c r="E939">
        <v>12</v>
      </c>
      <c r="F939">
        <v>20.90471934</v>
      </c>
      <c r="G939" t="s">
        <v>9</v>
      </c>
    </row>
    <row r="940" spans="1:7" x14ac:dyDescent="0.25">
      <c r="A940" t="s">
        <v>7</v>
      </c>
      <c r="B940" t="s">
        <v>11</v>
      </c>
      <c r="C940" s="1">
        <v>43808</v>
      </c>
      <c r="D940">
        <v>2019</v>
      </c>
      <c r="E940">
        <v>12</v>
      </c>
      <c r="F940">
        <v>0</v>
      </c>
      <c r="G940" t="s">
        <v>9</v>
      </c>
    </row>
    <row r="941" spans="1:7" x14ac:dyDescent="0.25">
      <c r="A941" t="s">
        <v>7</v>
      </c>
      <c r="B941" t="s">
        <v>11</v>
      </c>
      <c r="C941" s="1">
        <v>43813</v>
      </c>
      <c r="D941">
        <v>2019</v>
      </c>
      <c r="E941">
        <v>12</v>
      </c>
      <c r="F941">
        <v>36.936681380000003</v>
      </c>
      <c r="G941" t="s">
        <v>9</v>
      </c>
    </row>
    <row r="942" spans="1:7" x14ac:dyDescent="0.25">
      <c r="A942" t="s">
        <v>7</v>
      </c>
      <c r="B942" t="s">
        <v>11</v>
      </c>
      <c r="C942" s="1">
        <v>43823</v>
      </c>
      <c r="D942">
        <v>2019</v>
      </c>
      <c r="E942">
        <v>12</v>
      </c>
      <c r="F942">
        <v>0</v>
      </c>
      <c r="G942" t="s">
        <v>9</v>
      </c>
    </row>
    <row r="943" spans="1:7" x14ac:dyDescent="0.25">
      <c r="A943" t="s">
        <v>7</v>
      </c>
      <c r="B943" t="s">
        <v>11</v>
      </c>
      <c r="C943" s="1">
        <v>43830</v>
      </c>
      <c r="D943">
        <v>2019</v>
      </c>
      <c r="E943">
        <v>12</v>
      </c>
      <c r="F943">
        <v>8.3363185790000003</v>
      </c>
      <c r="G943" t="s">
        <v>9</v>
      </c>
    </row>
    <row r="944" spans="1:7" x14ac:dyDescent="0.25">
      <c r="A944" t="s">
        <v>7</v>
      </c>
      <c r="B944" t="s">
        <v>11</v>
      </c>
      <c r="C944" s="1">
        <v>43829</v>
      </c>
      <c r="D944">
        <v>2019</v>
      </c>
      <c r="E944">
        <v>12</v>
      </c>
      <c r="F944">
        <v>1.776880561</v>
      </c>
      <c r="G944" t="s">
        <v>9</v>
      </c>
    </row>
    <row r="945" spans="1:7" x14ac:dyDescent="0.25">
      <c r="A945" t="s">
        <v>7</v>
      </c>
      <c r="B945" t="s">
        <v>12</v>
      </c>
      <c r="C945" s="1">
        <v>43468</v>
      </c>
      <c r="D945">
        <v>2019</v>
      </c>
      <c r="E945">
        <v>1</v>
      </c>
      <c r="F945">
        <v>0</v>
      </c>
      <c r="G945" t="s">
        <v>9</v>
      </c>
    </row>
    <row r="946" spans="1:7" x14ac:dyDescent="0.25">
      <c r="A946" t="s">
        <v>7</v>
      </c>
      <c r="B946" t="s">
        <v>12</v>
      </c>
      <c r="C946" s="1">
        <v>43479</v>
      </c>
      <c r="D946">
        <v>2019</v>
      </c>
      <c r="E946">
        <v>1</v>
      </c>
      <c r="F946">
        <v>0</v>
      </c>
      <c r="G946" t="s">
        <v>9</v>
      </c>
    </row>
    <row r="947" spans="1:7" x14ac:dyDescent="0.25">
      <c r="A947" t="s">
        <v>7</v>
      </c>
      <c r="B947" t="s">
        <v>12</v>
      </c>
      <c r="C947" s="1">
        <v>43480</v>
      </c>
      <c r="D947">
        <v>2019</v>
      </c>
      <c r="E947">
        <v>1</v>
      </c>
      <c r="F947">
        <v>0</v>
      </c>
      <c r="G947" t="s">
        <v>9</v>
      </c>
    </row>
    <row r="948" spans="1:7" x14ac:dyDescent="0.25">
      <c r="A948" t="s">
        <v>7</v>
      </c>
      <c r="B948" t="s">
        <v>12</v>
      </c>
      <c r="C948" s="1">
        <v>43481</v>
      </c>
      <c r="D948">
        <v>2019</v>
      </c>
      <c r="E948">
        <v>1</v>
      </c>
      <c r="F948">
        <v>0</v>
      </c>
      <c r="G948" t="s">
        <v>9</v>
      </c>
    </row>
    <row r="949" spans="1:7" x14ac:dyDescent="0.25">
      <c r="A949" t="s">
        <v>7</v>
      </c>
      <c r="B949" t="s">
        <v>12</v>
      </c>
      <c r="C949" s="1">
        <v>43485</v>
      </c>
      <c r="D949">
        <v>2019</v>
      </c>
      <c r="E949">
        <v>1</v>
      </c>
      <c r="F949">
        <v>0</v>
      </c>
      <c r="G949" t="s">
        <v>9</v>
      </c>
    </row>
    <row r="950" spans="1:7" x14ac:dyDescent="0.25">
      <c r="A950" t="s">
        <v>7</v>
      </c>
      <c r="B950" t="s">
        <v>12</v>
      </c>
      <c r="C950" s="1">
        <v>43489</v>
      </c>
      <c r="D950">
        <v>2019</v>
      </c>
      <c r="E950">
        <v>1</v>
      </c>
      <c r="F950">
        <v>0</v>
      </c>
      <c r="G950" t="s">
        <v>9</v>
      </c>
    </row>
    <row r="951" spans="1:7" x14ac:dyDescent="0.25">
      <c r="A951" t="s">
        <v>7</v>
      </c>
      <c r="B951" t="s">
        <v>12</v>
      </c>
      <c r="C951" s="1">
        <v>43492</v>
      </c>
      <c r="D951">
        <v>2019</v>
      </c>
      <c r="E951">
        <v>1</v>
      </c>
      <c r="F951">
        <v>0</v>
      </c>
      <c r="G951" t="s">
        <v>9</v>
      </c>
    </row>
    <row r="952" spans="1:7" x14ac:dyDescent="0.25">
      <c r="A952" t="s">
        <v>7</v>
      </c>
      <c r="B952" t="s">
        <v>12</v>
      </c>
      <c r="C952" s="1">
        <v>43493</v>
      </c>
      <c r="D952">
        <v>2019</v>
      </c>
      <c r="E952">
        <v>1</v>
      </c>
      <c r="F952">
        <v>0</v>
      </c>
      <c r="G952" t="s">
        <v>9</v>
      </c>
    </row>
    <row r="953" spans="1:7" x14ac:dyDescent="0.25">
      <c r="A953" t="s">
        <v>7</v>
      </c>
      <c r="B953" t="s">
        <v>12</v>
      </c>
      <c r="C953" s="1">
        <v>43497</v>
      </c>
      <c r="D953">
        <v>2019</v>
      </c>
      <c r="E953">
        <v>2</v>
      </c>
      <c r="F953">
        <v>0</v>
      </c>
      <c r="G953" t="s">
        <v>9</v>
      </c>
    </row>
    <row r="954" spans="1:7" x14ac:dyDescent="0.25">
      <c r="A954" t="s">
        <v>7</v>
      </c>
      <c r="B954" t="s">
        <v>12</v>
      </c>
      <c r="C954" s="1">
        <v>43499</v>
      </c>
      <c r="D954">
        <v>2019</v>
      </c>
      <c r="E954">
        <v>2</v>
      </c>
      <c r="F954">
        <v>0</v>
      </c>
      <c r="G954" t="s">
        <v>9</v>
      </c>
    </row>
    <row r="955" spans="1:7" x14ac:dyDescent="0.25">
      <c r="A955" t="s">
        <v>7</v>
      </c>
      <c r="B955" t="s">
        <v>12</v>
      </c>
      <c r="C955" s="1">
        <v>43504</v>
      </c>
      <c r="D955">
        <v>2019</v>
      </c>
      <c r="E955">
        <v>2</v>
      </c>
      <c r="F955">
        <v>0</v>
      </c>
      <c r="G955" t="s">
        <v>9</v>
      </c>
    </row>
    <row r="956" spans="1:7" x14ac:dyDescent="0.25">
      <c r="A956" t="s">
        <v>7</v>
      </c>
      <c r="B956" t="s">
        <v>12</v>
      </c>
      <c r="C956" s="1">
        <v>43512</v>
      </c>
      <c r="D956">
        <v>2019</v>
      </c>
      <c r="E956">
        <v>2</v>
      </c>
      <c r="F956">
        <v>0</v>
      </c>
      <c r="G956" t="s">
        <v>9</v>
      </c>
    </row>
    <row r="957" spans="1:7" x14ac:dyDescent="0.25">
      <c r="A957" t="s">
        <v>7</v>
      </c>
      <c r="B957" t="s">
        <v>12</v>
      </c>
      <c r="C957" s="1">
        <v>43514</v>
      </c>
      <c r="D957">
        <v>2019</v>
      </c>
      <c r="E957">
        <v>2</v>
      </c>
      <c r="F957">
        <v>0</v>
      </c>
      <c r="G957" t="s">
        <v>9</v>
      </c>
    </row>
    <row r="958" spans="1:7" x14ac:dyDescent="0.25">
      <c r="A958" t="s">
        <v>7</v>
      </c>
      <c r="B958" t="s">
        <v>12</v>
      </c>
      <c r="C958" s="1">
        <v>43519</v>
      </c>
      <c r="D958">
        <v>2019</v>
      </c>
      <c r="E958">
        <v>2</v>
      </c>
      <c r="F958">
        <v>0</v>
      </c>
      <c r="G958" t="s">
        <v>9</v>
      </c>
    </row>
    <row r="959" spans="1:7" x14ac:dyDescent="0.25">
      <c r="A959" t="s">
        <v>7</v>
      </c>
      <c r="B959" t="s">
        <v>12</v>
      </c>
      <c r="C959" s="1">
        <v>43520</v>
      </c>
      <c r="D959">
        <v>2019</v>
      </c>
      <c r="E959">
        <v>2</v>
      </c>
      <c r="F959">
        <v>0</v>
      </c>
      <c r="G959" t="s">
        <v>9</v>
      </c>
    </row>
    <row r="960" spans="1:7" x14ac:dyDescent="0.25">
      <c r="A960" t="s">
        <v>7</v>
      </c>
      <c r="B960" t="s">
        <v>12</v>
      </c>
      <c r="C960" s="1">
        <v>43524</v>
      </c>
      <c r="D960">
        <v>2019</v>
      </c>
      <c r="E960">
        <v>2</v>
      </c>
      <c r="F960">
        <v>0</v>
      </c>
      <c r="G960" t="s">
        <v>9</v>
      </c>
    </row>
    <row r="961" spans="1:7" x14ac:dyDescent="0.25">
      <c r="A961" t="s">
        <v>7</v>
      </c>
      <c r="B961" t="s">
        <v>12</v>
      </c>
      <c r="C961" s="1">
        <v>43522</v>
      </c>
      <c r="D961">
        <v>2019</v>
      </c>
      <c r="E961">
        <v>2</v>
      </c>
      <c r="F961">
        <v>0</v>
      </c>
      <c r="G961" t="s">
        <v>9</v>
      </c>
    </row>
    <row r="962" spans="1:7" x14ac:dyDescent="0.25">
      <c r="A962" t="s">
        <v>7</v>
      </c>
      <c r="B962" t="s">
        <v>12</v>
      </c>
      <c r="C962" s="1">
        <v>43536</v>
      </c>
      <c r="D962">
        <v>2019</v>
      </c>
      <c r="E962">
        <v>3</v>
      </c>
      <c r="F962">
        <v>0</v>
      </c>
      <c r="G962" t="s">
        <v>9</v>
      </c>
    </row>
    <row r="963" spans="1:7" x14ac:dyDescent="0.25">
      <c r="A963" t="s">
        <v>7</v>
      </c>
      <c r="B963" t="s">
        <v>12</v>
      </c>
      <c r="C963" s="1">
        <v>43543</v>
      </c>
      <c r="D963">
        <v>2019</v>
      </c>
      <c r="E963">
        <v>3</v>
      </c>
      <c r="F963">
        <v>0</v>
      </c>
      <c r="G963" t="s">
        <v>9</v>
      </c>
    </row>
    <row r="964" spans="1:7" x14ac:dyDescent="0.25">
      <c r="A964" t="s">
        <v>7</v>
      </c>
      <c r="B964" t="s">
        <v>12</v>
      </c>
      <c r="C964" s="1">
        <v>43551</v>
      </c>
      <c r="D964">
        <v>2019</v>
      </c>
      <c r="E964">
        <v>3</v>
      </c>
      <c r="F964">
        <v>0</v>
      </c>
      <c r="G964" t="s">
        <v>9</v>
      </c>
    </row>
    <row r="965" spans="1:7" x14ac:dyDescent="0.25">
      <c r="A965" t="s">
        <v>7</v>
      </c>
      <c r="B965" t="s">
        <v>12</v>
      </c>
      <c r="C965" s="1">
        <v>43557</v>
      </c>
      <c r="D965">
        <v>2019</v>
      </c>
      <c r="E965">
        <v>4</v>
      </c>
      <c r="F965">
        <v>0</v>
      </c>
      <c r="G965" t="s">
        <v>9</v>
      </c>
    </row>
    <row r="966" spans="1:7" x14ac:dyDescent="0.25">
      <c r="A966" t="s">
        <v>7</v>
      </c>
      <c r="B966" t="s">
        <v>12</v>
      </c>
      <c r="C966" s="1">
        <v>43558</v>
      </c>
      <c r="D966">
        <v>2019</v>
      </c>
      <c r="E966">
        <v>4</v>
      </c>
      <c r="F966">
        <v>0</v>
      </c>
      <c r="G966" t="s">
        <v>9</v>
      </c>
    </row>
    <row r="967" spans="1:7" x14ac:dyDescent="0.25">
      <c r="A967" t="s">
        <v>7</v>
      </c>
      <c r="B967" t="s">
        <v>12</v>
      </c>
      <c r="C967" s="1">
        <v>43559</v>
      </c>
      <c r="D967">
        <v>2019</v>
      </c>
      <c r="E967">
        <v>4</v>
      </c>
      <c r="F967">
        <v>0</v>
      </c>
      <c r="G967" t="s">
        <v>9</v>
      </c>
    </row>
    <row r="968" spans="1:7" x14ac:dyDescent="0.25">
      <c r="A968" t="s">
        <v>7</v>
      </c>
      <c r="B968" t="s">
        <v>12</v>
      </c>
      <c r="C968" s="1">
        <v>43564</v>
      </c>
      <c r="D968">
        <v>2019</v>
      </c>
      <c r="E968">
        <v>4</v>
      </c>
      <c r="F968">
        <v>0</v>
      </c>
      <c r="G968" t="s">
        <v>9</v>
      </c>
    </row>
    <row r="969" spans="1:7" x14ac:dyDescent="0.25">
      <c r="A969" t="s">
        <v>7</v>
      </c>
      <c r="B969" t="s">
        <v>12</v>
      </c>
      <c r="C969" s="1">
        <v>43589</v>
      </c>
      <c r="D969">
        <v>2019</v>
      </c>
      <c r="E969">
        <v>5</v>
      </c>
      <c r="F969">
        <v>0</v>
      </c>
      <c r="G969" t="s">
        <v>9</v>
      </c>
    </row>
    <row r="970" spans="1:7" x14ac:dyDescent="0.25">
      <c r="A970" t="s">
        <v>7</v>
      </c>
      <c r="B970" t="s">
        <v>12</v>
      </c>
      <c r="C970" s="1">
        <v>43591</v>
      </c>
      <c r="D970">
        <v>2019</v>
      </c>
      <c r="E970">
        <v>5</v>
      </c>
      <c r="F970">
        <v>0</v>
      </c>
      <c r="G970" t="s">
        <v>9</v>
      </c>
    </row>
    <row r="971" spans="1:7" x14ac:dyDescent="0.25">
      <c r="A971" t="s">
        <v>7</v>
      </c>
      <c r="B971" t="s">
        <v>12</v>
      </c>
      <c r="C971" s="1">
        <v>43593</v>
      </c>
      <c r="D971">
        <v>2019</v>
      </c>
      <c r="E971">
        <v>5</v>
      </c>
      <c r="F971">
        <v>0</v>
      </c>
      <c r="G971" t="s">
        <v>9</v>
      </c>
    </row>
    <row r="972" spans="1:7" x14ac:dyDescent="0.25">
      <c r="A972" t="s">
        <v>7</v>
      </c>
      <c r="B972" t="s">
        <v>12</v>
      </c>
      <c r="C972" s="1">
        <v>43594</v>
      </c>
      <c r="D972">
        <v>2019</v>
      </c>
      <c r="E972">
        <v>5</v>
      </c>
      <c r="F972">
        <v>0</v>
      </c>
      <c r="G972" t="s">
        <v>9</v>
      </c>
    </row>
    <row r="973" spans="1:7" x14ac:dyDescent="0.25">
      <c r="A973" t="s">
        <v>7</v>
      </c>
      <c r="B973" t="s">
        <v>12</v>
      </c>
      <c r="C973" s="1">
        <v>43595</v>
      </c>
      <c r="D973">
        <v>2019</v>
      </c>
      <c r="E973">
        <v>5</v>
      </c>
      <c r="F973">
        <v>0</v>
      </c>
      <c r="G973" t="s">
        <v>9</v>
      </c>
    </row>
    <row r="974" spans="1:7" x14ac:dyDescent="0.25">
      <c r="A974" t="s">
        <v>7</v>
      </c>
      <c r="B974" t="s">
        <v>10</v>
      </c>
      <c r="C974" s="1">
        <v>43771</v>
      </c>
      <c r="D974">
        <v>2019</v>
      </c>
      <c r="E974">
        <v>11</v>
      </c>
      <c r="F974">
        <v>4.1441493029999998</v>
      </c>
      <c r="G974" t="s">
        <v>9</v>
      </c>
    </row>
    <row r="975" spans="1:7" x14ac:dyDescent="0.25">
      <c r="A975" t="s">
        <v>7</v>
      </c>
      <c r="B975" t="s">
        <v>10</v>
      </c>
      <c r="C975" s="1">
        <v>43775</v>
      </c>
      <c r="D975">
        <v>2019</v>
      </c>
      <c r="E975">
        <v>11</v>
      </c>
      <c r="F975">
        <v>0</v>
      </c>
      <c r="G975" t="s">
        <v>9</v>
      </c>
    </row>
    <row r="976" spans="1:7" x14ac:dyDescent="0.25">
      <c r="A976" t="s">
        <v>7</v>
      </c>
      <c r="B976" t="s">
        <v>10</v>
      </c>
      <c r="C976" s="1">
        <v>43776</v>
      </c>
      <c r="D976">
        <v>2019</v>
      </c>
      <c r="E976">
        <v>11</v>
      </c>
      <c r="F976">
        <v>0</v>
      </c>
      <c r="G976" t="s">
        <v>9</v>
      </c>
    </row>
    <row r="977" spans="1:7" x14ac:dyDescent="0.25">
      <c r="A977" t="s">
        <v>7</v>
      </c>
      <c r="B977" t="s">
        <v>10</v>
      </c>
      <c r="C977" s="1">
        <v>43778</v>
      </c>
      <c r="D977">
        <v>2019</v>
      </c>
      <c r="E977">
        <v>11</v>
      </c>
      <c r="F977">
        <v>0</v>
      </c>
      <c r="G977" t="s">
        <v>9</v>
      </c>
    </row>
    <row r="978" spans="1:7" x14ac:dyDescent="0.25">
      <c r="A978" t="s">
        <v>7</v>
      </c>
      <c r="B978" t="s">
        <v>10</v>
      </c>
      <c r="C978" s="1">
        <v>43781</v>
      </c>
      <c r="D978">
        <v>2019</v>
      </c>
      <c r="E978">
        <v>11</v>
      </c>
      <c r="F978">
        <v>0</v>
      </c>
      <c r="G978" t="s">
        <v>9</v>
      </c>
    </row>
    <row r="979" spans="1:7" x14ac:dyDescent="0.25">
      <c r="A979" t="s">
        <v>7</v>
      </c>
      <c r="B979" t="s">
        <v>10</v>
      </c>
      <c r="C979" s="1">
        <v>43782</v>
      </c>
      <c r="D979">
        <v>2019</v>
      </c>
      <c r="E979">
        <v>11</v>
      </c>
      <c r="F979">
        <v>0</v>
      </c>
      <c r="G979" t="s">
        <v>9</v>
      </c>
    </row>
    <row r="980" spans="1:7" x14ac:dyDescent="0.25">
      <c r="A980" t="s">
        <v>7</v>
      </c>
      <c r="B980" t="s">
        <v>10</v>
      </c>
      <c r="C980" s="1">
        <v>43791</v>
      </c>
      <c r="D980">
        <v>2019</v>
      </c>
      <c r="E980">
        <v>11</v>
      </c>
      <c r="F980">
        <v>0</v>
      </c>
      <c r="G980" t="s">
        <v>9</v>
      </c>
    </row>
    <row r="981" spans="1:7" x14ac:dyDescent="0.25">
      <c r="A981" t="s">
        <v>7</v>
      </c>
      <c r="B981" t="s">
        <v>10</v>
      </c>
      <c r="C981" s="1">
        <v>43794</v>
      </c>
      <c r="D981">
        <v>2019</v>
      </c>
      <c r="E981">
        <v>11</v>
      </c>
      <c r="F981">
        <v>0</v>
      </c>
      <c r="G981" t="s">
        <v>9</v>
      </c>
    </row>
    <row r="982" spans="1:7" x14ac:dyDescent="0.25">
      <c r="A982" t="s">
        <v>7</v>
      </c>
      <c r="B982" t="s">
        <v>10</v>
      </c>
      <c r="C982" s="1">
        <v>43795</v>
      </c>
      <c r="D982">
        <v>2019</v>
      </c>
      <c r="E982">
        <v>11</v>
      </c>
      <c r="F982">
        <v>0</v>
      </c>
      <c r="G982" t="s">
        <v>9</v>
      </c>
    </row>
    <row r="983" spans="1:7" x14ac:dyDescent="0.25">
      <c r="A983" t="s">
        <v>7</v>
      </c>
      <c r="B983" t="s">
        <v>10</v>
      </c>
      <c r="C983" s="1">
        <v>43797</v>
      </c>
      <c r="D983">
        <v>2019</v>
      </c>
      <c r="E983">
        <v>11</v>
      </c>
      <c r="F983">
        <v>0</v>
      </c>
      <c r="G983" t="s">
        <v>9</v>
      </c>
    </row>
    <row r="984" spans="1:7" x14ac:dyDescent="0.25">
      <c r="A984" t="s">
        <v>7</v>
      </c>
      <c r="B984" t="s">
        <v>10</v>
      </c>
      <c r="C984" s="1">
        <v>43802</v>
      </c>
      <c r="D984">
        <v>2019</v>
      </c>
      <c r="E984">
        <v>12</v>
      </c>
      <c r="F984">
        <v>0</v>
      </c>
      <c r="G984" t="s">
        <v>9</v>
      </c>
    </row>
    <row r="985" spans="1:7" x14ac:dyDescent="0.25">
      <c r="A985" t="s">
        <v>7</v>
      </c>
      <c r="B985" t="s">
        <v>10</v>
      </c>
      <c r="C985" s="1">
        <v>43804</v>
      </c>
      <c r="D985">
        <v>2019</v>
      </c>
      <c r="E985">
        <v>12</v>
      </c>
      <c r="F985">
        <v>0</v>
      </c>
      <c r="G985" t="s">
        <v>9</v>
      </c>
    </row>
    <row r="986" spans="1:7" x14ac:dyDescent="0.25">
      <c r="A986" t="s">
        <v>7</v>
      </c>
      <c r="B986" t="s">
        <v>10</v>
      </c>
      <c r="C986" s="1">
        <v>43810</v>
      </c>
      <c r="D986">
        <v>2019</v>
      </c>
      <c r="E986">
        <v>12</v>
      </c>
      <c r="F986">
        <v>0</v>
      </c>
      <c r="G986" t="s">
        <v>9</v>
      </c>
    </row>
    <row r="987" spans="1:7" x14ac:dyDescent="0.25">
      <c r="A987" t="s">
        <v>7</v>
      </c>
      <c r="B987" t="s">
        <v>10</v>
      </c>
      <c r="C987" s="1">
        <v>43813</v>
      </c>
      <c r="D987">
        <v>2019</v>
      </c>
      <c r="E987">
        <v>12</v>
      </c>
      <c r="F987">
        <v>0</v>
      </c>
      <c r="G987" t="s">
        <v>9</v>
      </c>
    </row>
    <row r="988" spans="1:7" x14ac:dyDescent="0.25">
      <c r="A988" t="s">
        <v>7</v>
      </c>
      <c r="B988" t="s">
        <v>10</v>
      </c>
      <c r="C988" s="1">
        <v>43822</v>
      </c>
      <c r="D988">
        <v>2019</v>
      </c>
      <c r="E988">
        <v>12</v>
      </c>
      <c r="F988">
        <v>0</v>
      </c>
      <c r="G988" t="s">
        <v>9</v>
      </c>
    </row>
    <row r="989" spans="1:7" x14ac:dyDescent="0.25">
      <c r="A989" t="s">
        <v>7</v>
      </c>
      <c r="B989" t="s">
        <v>10</v>
      </c>
      <c r="C989" s="1">
        <v>43823</v>
      </c>
      <c r="D989">
        <v>2019</v>
      </c>
      <c r="E989">
        <v>12</v>
      </c>
      <c r="F989">
        <v>0</v>
      </c>
      <c r="G989" t="s">
        <v>9</v>
      </c>
    </row>
    <row r="990" spans="1:7" x14ac:dyDescent="0.25">
      <c r="A990" t="s">
        <v>7</v>
      </c>
      <c r="B990" t="s">
        <v>10</v>
      </c>
      <c r="C990" s="1">
        <v>43825</v>
      </c>
      <c r="D990">
        <v>2019</v>
      </c>
      <c r="E990">
        <v>12</v>
      </c>
      <c r="F990">
        <v>0</v>
      </c>
      <c r="G990" t="s">
        <v>9</v>
      </c>
    </row>
    <row r="991" spans="1:7" x14ac:dyDescent="0.25">
      <c r="A991" t="s">
        <v>7</v>
      </c>
      <c r="B991" t="s">
        <v>10</v>
      </c>
      <c r="C991" s="1">
        <v>43829</v>
      </c>
      <c r="D991">
        <v>2019</v>
      </c>
      <c r="E991">
        <v>12</v>
      </c>
      <c r="F991">
        <v>0</v>
      </c>
      <c r="G991" t="s">
        <v>9</v>
      </c>
    </row>
    <row r="992" spans="1:7" x14ac:dyDescent="0.25">
      <c r="A992" t="s">
        <v>7</v>
      </c>
      <c r="B992" t="s">
        <v>12</v>
      </c>
      <c r="C992" s="1">
        <v>43597</v>
      </c>
      <c r="D992">
        <v>2019</v>
      </c>
      <c r="E992">
        <v>5</v>
      </c>
      <c r="F992">
        <v>0</v>
      </c>
      <c r="G992" t="s">
        <v>9</v>
      </c>
    </row>
    <row r="993" spans="1:7" x14ac:dyDescent="0.25">
      <c r="A993" t="s">
        <v>7</v>
      </c>
      <c r="B993" t="s">
        <v>12</v>
      </c>
      <c r="C993" s="1">
        <v>43599</v>
      </c>
      <c r="D993">
        <v>2019</v>
      </c>
      <c r="E993">
        <v>5</v>
      </c>
      <c r="F993">
        <v>0</v>
      </c>
      <c r="G993" t="s">
        <v>9</v>
      </c>
    </row>
    <row r="994" spans="1:7" x14ac:dyDescent="0.25">
      <c r="A994" t="s">
        <v>7</v>
      </c>
      <c r="B994" t="s">
        <v>12</v>
      </c>
      <c r="C994" s="1">
        <v>43605</v>
      </c>
      <c r="D994">
        <v>2019</v>
      </c>
      <c r="E994">
        <v>5</v>
      </c>
      <c r="F994">
        <v>0</v>
      </c>
      <c r="G994" t="s">
        <v>9</v>
      </c>
    </row>
    <row r="995" spans="1:7" x14ac:dyDescent="0.25">
      <c r="A995" t="s">
        <v>7</v>
      </c>
      <c r="B995" t="s">
        <v>12</v>
      </c>
      <c r="C995" s="1">
        <v>43607</v>
      </c>
      <c r="D995">
        <v>2019</v>
      </c>
      <c r="E995">
        <v>5</v>
      </c>
      <c r="F995">
        <v>0</v>
      </c>
      <c r="G995" t="s">
        <v>9</v>
      </c>
    </row>
    <row r="996" spans="1:7" x14ac:dyDescent="0.25">
      <c r="A996" t="s">
        <v>7</v>
      </c>
      <c r="B996" t="s">
        <v>12</v>
      </c>
      <c r="C996" s="1">
        <v>43617</v>
      </c>
      <c r="D996">
        <v>2019</v>
      </c>
      <c r="E996">
        <v>6</v>
      </c>
      <c r="F996">
        <v>16.846754069999999</v>
      </c>
      <c r="G996" t="s">
        <v>9</v>
      </c>
    </row>
    <row r="997" spans="1:7" x14ac:dyDescent="0.25">
      <c r="A997" t="s">
        <v>7</v>
      </c>
      <c r="B997" t="s">
        <v>12</v>
      </c>
      <c r="C997" s="1">
        <v>43618</v>
      </c>
      <c r="D997">
        <v>2019</v>
      </c>
      <c r="E997">
        <v>6</v>
      </c>
      <c r="F997">
        <v>13.827850339999999</v>
      </c>
      <c r="G997" t="s">
        <v>9</v>
      </c>
    </row>
    <row r="998" spans="1:7" x14ac:dyDescent="0.25">
      <c r="A998" t="s">
        <v>7</v>
      </c>
      <c r="B998" t="s">
        <v>12</v>
      </c>
      <c r="C998" s="1">
        <v>43622</v>
      </c>
      <c r="D998">
        <v>2019</v>
      </c>
      <c r="E998">
        <v>6</v>
      </c>
      <c r="F998">
        <v>44.148200989999999</v>
      </c>
      <c r="G998" t="s">
        <v>9</v>
      </c>
    </row>
    <row r="999" spans="1:7" x14ac:dyDescent="0.25">
      <c r="A999" t="s">
        <v>7</v>
      </c>
      <c r="B999" t="s">
        <v>12</v>
      </c>
      <c r="C999" s="1">
        <v>43631</v>
      </c>
      <c r="D999">
        <v>2019</v>
      </c>
      <c r="E999">
        <v>6</v>
      </c>
      <c r="F999">
        <v>35.803829190000002</v>
      </c>
      <c r="G999" t="s">
        <v>9</v>
      </c>
    </row>
    <row r="1000" spans="1:7" x14ac:dyDescent="0.25">
      <c r="A1000" t="s">
        <v>7</v>
      </c>
      <c r="B1000" t="s">
        <v>12</v>
      </c>
      <c r="C1000" s="1">
        <v>43652</v>
      </c>
      <c r="D1000">
        <v>2019</v>
      </c>
      <c r="E1000">
        <v>7</v>
      </c>
      <c r="F1000">
        <v>61.756500240000001</v>
      </c>
      <c r="G1000" t="s">
        <v>9</v>
      </c>
    </row>
    <row r="1001" spans="1:7" x14ac:dyDescent="0.25">
      <c r="A1001" t="s">
        <v>7</v>
      </c>
      <c r="B1001" t="s">
        <v>12</v>
      </c>
      <c r="C1001" s="1">
        <v>43660</v>
      </c>
      <c r="D1001">
        <v>2019</v>
      </c>
      <c r="E1001">
        <v>7</v>
      </c>
      <c r="F1001">
        <v>6.3353929520000003</v>
      </c>
      <c r="G1001" t="s">
        <v>9</v>
      </c>
    </row>
    <row r="1002" spans="1:7" x14ac:dyDescent="0.25">
      <c r="A1002" t="s">
        <v>7</v>
      </c>
      <c r="B1002" t="s">
        <v>12</v>
      </c>
      <c r="C1002" s="1">
        <v>43665</v>
      </c>
      <c r="D1002">
        <v>2019</v>
      </c>
      <c r="E1002">
        <v>7</v>
      </c>
      <c r="F1002">
        <v>67.073036189999996</v>
      </c>
      <c r="G1002" t="s">
        <v>9</v>
      </c>
    </row>
    <row r="1003" spans="1:7" x14ac:dyDescent="0.25">
      <c r="A1003" t="s">
        <v>7</v>
      </c>
      <c r="B1003" t="s">
        <v>12</v>
      </c>
      <c r="C1003" s="1">
        <v>43673</v>
      </c>
      <c r="D1003">
        <v>2019</v>
      </c>
      <c r="E1003">
        <v>7</v>
      </c>
      <c r="F1003">
        <v>3.5151724820000001</v>
      </c>
      <c r="G1003" t="s">
        <v>9</v>
      </c>
    </row>
    <row r="1004" spans="1:7" x14ac:dyDescent="0.25">
      <c r="A1004" t="s">
        <v>7</v>
      </c>
      <c r="B1004" t="s">
        <v>12</v>
      </c>
      <c r="C1004" s="1">
        <v>43675</v>
      </c>
      <c r="D1004">
        <v>2019</v>
      </c>
      <c r="E1004">
        <v>7</v>
      </c>
      <c r="F1004">
        <v>25.57122421</v>
      </c>
      <c r="G1004" t="s">
        <v>9</v>
      </c>
    </row>
    <row r="1005" spans="1:7" x14ac:dyDescent="0.25">
      <c r="A1005" t="s">
        <v>7</v>
      </c>
      <c r="B1005" t="s">
        <v>12</v>
      </c>
      <c r="C1005" s="1">
        <v>43678</v>
      </c>
      <c r="D1005">
        <v>2019</v>
      </c>
      <c r="E1005">
        <v>8</v>
      </c>
      <c r="F1005">
        <v>6.8047018049999997</v>
      </c>
      <c r="G1005" t="s">
        <v>9</v>
      </c>
    </row>
    <row r="1006" spans="1:7" x14ac:dyDescent="0.25">
      <c r="A1006" t="s">
        <v>7</v>
      </c>
      <c r="B1006" t="s">
        <v>12</v>
      </c>
      <c r="C1006" s="1">
        <v>43681</v>
      </c>
      <c r="D1006">
        <v>2019</v>
      </c>
      <c r="E1006">
        <v>8</v>
      </c>
      <c r="F1006">
        <v>7.1678438189999998</v>
      </c>
      <c r="G1006" t="s">
        <v>9</v>
      </c>
    </row>
    <row r="1007" spans="1:7" x14ac:dyDescent="0.25">
      <c r="A1007" t="s">
        <v>7</v>
      </c>
      <c r="B1007" t="s">
        <v>12</v>
      </c>
      <c r="C1007" s="1">
        <v>43682</v>
      </c>
      <c r="D1007">
        <v>2019</v>
      </c>
      <c r="E1007">
        <v>8</v>
      </c>
      <c r="F1007">
        <v>38.598526</v>
      </c>
      <c r="G1007" t="s">
        <v>9</v>
      </c>
    </row>
    <row r="1008" spans="1:7" x14ac:dyDescent="0.25">
      <c r="A1008" t="s">
        <v>7</v>
      </c>
      <c r="B1008" t="s">
        <v>12</v>
      </c>
      <c r="C1008" s="1">
        <v>43698</v>
      </c>
      <c r="D1008">
        <v>2019</v>
      </c>
      <c r="E1008">
        <v>8</v>
      </c>
      <c r="F1008">
        <v>12.347963330000001</v>
      </c>
      <c r="G1008" t="s">
        <v>9</v>
      </c>
    </row>
    <row r="1009" spans="1:7" x14ac:dyDescent="0.25">
      <c r="A1009" t="s">
        <v>7</v>
      </c>
      <c r="B1009" t="s">
        <v>12</v>
      </c>
      <c r="C1009" s="1">
        <v>43701</v>
      </c>
      <c r="D1009">
        <v>2019</v>
      </c>
      <c r="E1009">
        <v>8</v>
      </c>
      <c r="F1009">
        <v>34.225437159999998</v>
      </c>
      <c r="G1009" t="s">
        <v>9</v>
      </c>
    </row>
    <row r="1010" spans="1:7" x14ac:dyDescent="0.25">
      <c r="A1010" t="s">
        <v>7</v>
      </c>
      <c r="B1010" t="s">
        <v>12</v>
      </c>
      <c r="C1010" s="1">
        <v>43705</v>
      </c>
      <c r="D1010">
        <v>2019</v>
      </c>
      <c r="E1010">
        <v>8</v>
      </c>
      <c r="F1010">
        <v>35.411769870000001</v>
      </c>
      <c r="G1010" t="s">
        <v>9</v>
      </c>
    </row>
    <row r="1011" spans="1:7" x14ac:dyDescent="0.25">
      <c r="A1011" t="s">
        <v>7</v>
      </c>
      <c r="B1011" t="s">
        <v>12</v>
      </c>
      <c r="C1011" s="1">
        <v>43715</v>
      </c>
      <c r="D1011">
        <v>2019</v>
      </c>
      <c r="E1011">
        <v>9</v>
      </c>
      <c r="F1011">
        <v>13.9815836</v>
      </c>
      <c r="G1011" t="s">
        <v>9</v>
      </c>
    </row>
    <row r="1012" spans="1:7" x14ac:dyDescent="0.25">
      <c r="A1012" t="s">
        <v>7</v>
      </c>
      <c r="B1012" t="s">
        <v>12</v>
      </c>
      <c r="C1012" s="1">
        <v>43716</v>
      </c>
      <c r="D1012">
        <v>2019</v>
      </c>
      <c r="E1012">
        <v>9</v>
      </c>
      <c r="F1012">
        <v>17.877613069999999</v>
      </c>
      <c r="G1012" t="s">
        <v>9</v>
      </c>
    </row>
    <row r="1013" spans="1:7" x14ac:dyDescent="0.25">
      <c r="A1013" t="s">
        <v>7</v>
      </c>
      <c r="B1013" t="s">
        <v>12</v>
      </c>
      <c r="C1013" s="1">
        <v>43721</v>
      </c>
      <c r="D1013">
        <v>2019</v>
      </c>
      <c r="E1013">
        <v>9</v>
      </c>
      <c r="F1013">
        <v>25.613695140000001</v>
      </c>
      <c r="G1013" t="s">
        <v>9</v>
      </c>
    </row>
    <row r="1014" spans="1:7" x14ac:dyDescent="0.25">
      <c r="A1014" t="s">
        <v>7</v>
      </c>
      <c r="B1014" t="s">
        <v>12</v>
      </c>
      <c r="C1014" s="1">
        <v>43722</v>
      </c>
      <c r="D1014">
        <v>2019</v>
      </c>
      <c r="E1014">
        <v>9</v>
      </c>
      <c r="F1014">
        <v>2.337379694</v>
      </c>
      <c r="G1014" t="s">
        <v>9</v>
      </c>
    </row>
    <row r="1015" spans="1:7" x14ac:dyDescent="0.25">
      <c r="A1015" t="s">
        <v>7</v>
      </c>
      <c r="B1015" t="s">
        <v>12</v>
      </c>
      <c r="C1015" s="1">
        <v>43736</v>
      </c>
      <c r="D1015">
        <v>2019</v>
      </c>
      <c r="E1015">
        <v>9</v>
      </c>
      <c r="F1015">
        <v>0</v>
      </c>
      <c r="G1015" t="s">
        <v>9</v>
      </c>
    </row>
    <row r="1016" spans="1:7" x14ac:dyDescent="0.25">
      <c r="A1016" t="s">
        <v>7</v>
      </c>
      <c r="B1016" t="s">
        <v>12</v>
      </c>
      <c r="C1016" s="1">
        <v>43742</v>
      </c>
      <c r="D1016">
        <v>2019</v>
      </c>
      <c r="E1016">
        <v>10</v>
      </c>
      <c r="F1016">
        <v>33.03607178</v>
      </c>
      <c r="G1016" t="s">
        <v>9</v>
      </c>
    </row>
    <row r="1017" spans="1:7" x14ac:dyDescent="0.25">
      <c r="A1017" t="s">
        <v>7</v>
      </c>
      <c r="B1017" t="s">
        <v>12</v>
      </c>
      <c r="C1017" s="1">
        <v>43759</v>
      </c>
      <c r="D1017">
        <v>2019</v>
      </c>
      <c r="E1017">
        <v>10</v>
      </c>
      <c r="F1017">
        <v>19.464139939999999</v>
      </c>
      <c r="G1017" t="s">
        <v>9</v>
      </c>
    </row>
    <row r="1018" spans="1:7" x14ac:dyDescent="0.25">
      <c r="A1018" t="s">
        <v>7</v>
      </c>
      <c r="B1018" t="s">
        <v>12</v>
      </c>
      <c r="C1018" s="1">
        <v>43769</v>
      </c>
      <c r="D1018">
        <v>2019</v>
      </c>
      <c r="E1018">
        <v>10</v>
      </c>
      <c r="F1018">
        <v>10.869875909999999</v>
      </c>
      <c r="G1018" t="s">
        <v>9</v>
      </c>
    </row>
    <row r="1019" spans="1:7" x14ac:dyDescent="0.25">
      <c r="A1019" t="s">
        <v>7</v>
      </c>
      <c r="B1019" t="s">
        <v>12</v>
      </c>
      <c r="C1019" s="1">
        <v>43784</v>
      </c>
      <c r="D1019">
        <v>2019</v>
      </c>
      <c r="E1019">
        <v>11</v>
      </c>
      <c r="F1019">
        <v>0</v>
      </c>
      <c r="G1019" t="s">
        <v>9</v>
      </c>
    </row>
    <row r="1020" spans="1:7" x14ac:dyDescent="0.25">
      <c r="A1020" t="s">
        <v>7</v>
      </c>
      <c r="B1020" t="s">
        <v>12</v>
      </c>
      <c r="C1020" s="1">
        <v>43785</v>
      </c>
      <c r="D1020">
        <v>2019</v>
      </c>
      <c r="E1020">
        <v>11</v>
      </c>
      <c r="F1020">
        <v>2.3430116179999998</v>
      </c>
      <c r="G1020" t="s">
        <v>9</v>
      </c>
    </row>
    <row r="1021" spans="1:7" x14ac:dyDescent="0.25">
      <c r="A1021" t="s">
        <v>7</v>
      </c>
      <c r="B1021" t="s">
        <v>12</v>
      </c>
      <c r="C1021" s="1">
        <v>43789</v>
      </c>
      <c r="D1021">
        <v>2019</v>
      </c>
      <c r="E1021">
        <v>11</v>
      </c>
      <c r="F1021">
        <v>0</v>
      </c>
      <c r="G1021" t="s">
        <v>9</v>
      </c>
    </row>
    <row r="1022" spans="1:7" x14ac:dyDescent="0.25">
      <c r="A1022" t="s">
        <v>7</v>
      </c>
      <c r="B1022" t="s">
        <v>12</v>
      </c>
      <c r="C1022" s="1">
        <v>43791</v>
      </c>
      <c r="D1022">
        <v>2019</v>
      </c>
      <c r="E1022">
        <v>11</v>
      </c>
      <c r="F1022">
        <v>7.6002788539999999</v>
      </c>
      <c r="G1022" t="s">
        <v>9</v>
      </c>
    </row>
    <row r="1023" spans="1:7" x14ac:dyDescent="0.25">
      <c r="A1023" t="s">
        <v>7</v>
      </c>
      <c r="B1023" t="s">
        <v>12</v>
      </c>
      <c r="C1023" s="1">
        <v>43792</v>
      </c>
      <c r="D1023">
        <v>2019</v>
      </c>
      <c r="E1023">
        <v>11</v>
      </c>
      <c r="F1023">
        <v>0</v>
      </c>
      <c r="G1023" t="s">
        <v>9</v>
      </c>
    </row>
    <row r="1024" spans="1:7" x14ac:dyDescent="0.25">
      <c r="A1024" t="s">
        <v>7</v>
      </c>
      <c r="B1024" t="s">
        <v>12</v>
      </c>
      <c r="C1024" s="1">
        <v>43796</v>
      </c>
      <c r="D1024">
        <v>2019</v>
      </c>
      <c r="E1024">
        <v>11</v>
      </c>
      <c r="F1024">
        <v>0</v>
      </c>
      <c r="G1024" t="s">
        <v>9</v>
      </c>
    </row>
    <row r="1025" spans="1:7" x14ac:dyDescent="0.25">
      <c r="A1025" t="s">
        <v>7</v>
      </c>
      <c r="B1025" t="s">
        <v>12</v>
      </c>
      <c r="C1025" s="1">
        <v>43810</v>
      </c>
      <c r="D1025">
        <v>2019</v>
      </c>
      <c r="E1025">
        <v>12</v>
      </c>
      <c r="F1025">
        <v>0</v>
      </c>
      <c r="G1025" t="s">
        <v>9</v>
      </c>
    </row>
    <row r="1026" spans="1:7" x14ac:dyDescent="0.25">
      <c r="A1026" t="s">
        <v>7</v>
      </c>
      <c r="B1026" t="s">
        <v>12</v>
      </c>
      <c r="C1026" s="1">
        <v>43815</v>
      </c>
      <c r="D1026">
        <v>2019</v>
      </c>
      <c r="E1026">
        <v>12</v>
      </c>
      <c r="F1026">
        <v>1.5055762530000001</v>
      </c>
      <c r="G1026" t="s">
        <v>9</v>
      </c>
    </row>
    <row r="1027" spans="1:7" x14ac:dyDescent="0.25">
      <c r="A1027" t="s">
        <v>7</v>
      </c>
      <c r="B1027" t="s">
        <v>12</v>
      </c>
      <c r="C1027" s="1">
        <v>43816</v>
      </c>
      <c r="D1027">
        <v>2019</v>
      </c>
      <c r="E1027">
        <v>12</v>
      </c>
      <c r="F1027">
        <v>0</v>
      </c>
      <c r="G1027" t="s">
        <v>9</v>
      </c>
    </row>
    <row r="1028" spans="1:7" x14ac:dyDescent="0.25">
      <c r="A1028" t="s">
        <v>7</v>
      </c>
      <c r="B1028" t="s">
        <v>12</v>
      </c>
      <c r="C1028" s="1">
        <v>43818</v>
      </c>
      <c r="D1028">
        <v>2019</v>
      </c>
      <c r="E1028">
        <v>12</v>
      </c>
      <c r="F1028">
        <v>0</v>
      </c>
      <c r="G1028" t="s">
        <v>9</v>
      </c>
    </row>
    <row r="1029" spans="1:7" x14ac:dyDescent="0.25">
      <c r="A1029" t="s">
        <v>7</v>
      </c>
      <c r="B1029" t="s">
        <v>12</v>
      </c>
      <c r="C1029" s="1">
        <v>43822</v>
      </c>
      <c r="D1029">
        <v>2019</v>
      </c>
      <c r="E1029">
        <v>12</v>
      </c>
      <c r="F1029">
        <v>0</v>
      </c>
      <c r="G1029" t="s">
        <v>9</v>
      </c>
    </row>
    <row r="1030" spans="1:7" x14ac:dyDescent="0.25">
      <c r="A1030" t="s">
        <v>7</v>
      </c>
      <c r="B1030" t="s">
        <v>12</v>
      </c>
      <c r="C1030" s="1">
        <v>43826</v>
      </c>
      <c r="D1030">
        <v>2019</v>
      </c>
      <c r="E1030">
        <v>12</v>
      </c>
      <c r="F1030">
        <v>0</v>
      </c>
      <c r="G1030" t="s">
        <v>9</v>
      </c>
    </row>
    <row r="1031" spans="1:7" x14ac:dyDescent="0.25">
      <c r="A1031" t="s">
        <v>7</v>
      </c>
      <c r="B1031" t="s">
        <v>8</v>
      </c>
      <c r="C1031" s="1">
        <v>43467</v>
      </c>
      <c r="D1031">
        <v>2019</v>
      </c>
      <c r="E1031">
        <v>1</v>
      </c>
      <c r="F1031">
        <v>0</v>
      </c>
      <c r="G1031" t="s">
        <v>9</v>
      </c>
    </row>
    <row r="1032" spans="1:7" x14ac:dyDescent="0.25">
      <c r="A1032" t="s">
        <v>7</v>
      </c>
      <c r="B1032" t="s">
        <v>8</v>
      </c>
      <c r="C1032" s="1">
        <v>43476</v>
      </c>
      <c r="D1032">
        <v>2019</v>
      </c>
      <c r="E1032">
        <v>1</v>
      </c>
      <c r="F1032">
        <v>0</v>
      </c>
      <c r="G1032" t="s">
        <v>9</v>
      </c>
    </row>
    <row r="1033" spans="1:7" x14ac:dyDescent="0.25">
      <c r="A1033" t="s">
        <v>7</v>
      </c>
      <c r="B1033" t="s">
        <v>8</v>
      </c>
      <c r="C1033" s="1">
        <v>43482</v>
      </c>
      <c r="D1033">
        <v>2019</v>
      </c>
      <c r="E1033">
        <v>1</v>
      </c>
      <c r="F1033">
        <v>0</v>
      </c>
      <c r="G1033" t="s">
        <v>9</v>
      </c>
    </row>
    <row r="1034" spans="1:7" x14ac:dyDescent="0.25">
      <c r="A1034" t="s">
        <v>7</v>
      </c>
      <c r="B1034" t="s">
        <v>8</v>
      </c>
      <c r="C1034" s="1">
        <v>43496</v>
      </c>
      <c r="D1034">
        <v>2019</v>
      </c>
      <c r="E1034">
        <v>1</v>
      </c>
      <c r="F1034">
        <v>0</v>
      </c>
      <c r="G1034" t="s">
        <v>9</v>
      </c>
    </row>
    <row r="1035" spans="1:7" x14ac:dyDescent="0.25">
      <c r="A1035" t="s">
        <v>7</v>
      </c>
      <c r="B1035" t="s">
        <v>8</v>
      </c>
      <c r="C1035" s="1">
        <v>43503</v>
      </c>
      <c r="D1035">
        <v>2019</v>
      </c>
      <c r="E1035">
        <v>2</v>
      </c>
      <c r="F1035">
        <v>0</v>
      </c>
      <c r="G1035" t="s">
        <v>9</v>
      </c>
    </row>
    <row r="1036" spans="1:7" x14ac:dyDescent="0.25">
      <c r="A1036" t="s">
        <v>7</v>
      </c>
      <c r="B1036" t="s">
        <v>8</v>
      </c>
      <c r="C1036" s="1">
        <v>43508</v>
      </c>
      <c r="D1036">
        <v>2019</v>
      </c>
      <c r="E1036">
        <v>2</v>
      </c>
      <c r="F1036">
        <v>0</v>
      </c>
      <c r="G1036" t="s">
        <v>9</v>
      </c>
    </row>
    <row r="1037" spans="1:7" x14ac:dyDescent="0.25">
      <c r="A1037" t="s">
        <v>7</v>
      </c>
      <c r="B1037" t="s">
        <v>8</v>
      </c>
      <c r="C1037" s="1">
        <v>43519</v>
      </c>
      <c r="D1037">
        <v>2019</v>
      </c>
      <c r="E1037">
        <v>2</v>
      </c>
      <c r="F1037">
        <v>0</v>
      </c>
      <c r="G1037" t="s">
        <v>9</v>
      </c>
    </row>
    <row r="1038" spans="1:7" x14ac:dyDescent="0.25">
      <c r="A1038" t="s">
        <v>7</v>
      </c>
      <c r="B1038" t="s">
        <v>8</v>
      </c>
      <c r="C1038" s="1">
        <v>43532</v>
      </c>
      <c r="D1038">
        <v>2019</v>
      </c>
      <c r="E1038">
        <v>3</v>
      </c>
      <c r="F1038">
        <v>0</v>
      </c>
      <c r="G1038" t="s">
        <v>9</v>
      </c>
    </row>
    <row r="1039" spans="1:7" x14ac:dyDescent="0.25">
      <c r="A1039" t="s">
        <v>7</v>
      </c>
      <c r="B1039" t="s">
        <v>8</v>
      </c>
      <c r="C1039" s="1">
        <v>43536</v>
      </c>
      <c r="D1039">
        <v>2019</v>
      </c>
      <c r="E1039">
        <v>3</v>
      </c>
      <c r="F1039">
        <v>0</v>
      </c>
      <c r="G1039" t="s">
        <v>9</v>
      </c>
    </row>
    <row r="1040" spans="1:7" x14ac:dyDescent="0.25">
      <c r="A1040" t="s">
        <v>7</v>
      </c>
      <c r="B1040" t="s">
        <v>8</v>
      </c>
      <c r="C1040" s="1">
        <v>43545</v>
      </c>
      <c r="D1040">
        <v>2019</v>
      </c>
      <c r="E1040">
        <v>3</v>
      </c>
      <c r="F1040">
        <v>0</v>
      </c>
      <c r="G1040" t="s">
        <v>9</v>
      </c>
    </row>
    <row r="1041" spans="1:7" x14ac:dyDescent="0.25">
      <c r="A1041" t="s">
        <v>7</v>
      </c>
      <c r="B1041" t="s">
        <v>8</v>
      </c>
      <c r="C1041" s="1">
        <v>43546</v>
      </c>
      <c r="D1041">
        <v>2019</v>
      </c>
      <c r="E1041">
        <v>3</v>
      </c>
      <c r="F1041">
        <v>0</v>
      </c>
      <c r="G1041" t="s">
        <v>9</v>
      </c>
    </row>
    <row r="1042" spans="1:7" x14ac:dyDescent="0.25">
      <c r="A1042" t="s">
        <v>7</v>
      </c>
      <c r="B1042" t="s">
        <v>8</v>
      </c>
      <c r="C1042" s="1">
        <v>43551</v>
      </c>
      <c r="D1042">
        <v>2019</v>
      </c>
      <c r="E1042">
        <v>3</v>
      </c>
      <c r="F1042">
        <v>0</v>
      </c>
      <c r="G1042" t="s">
        <v>9</v>
      </c>
    </row>
    <row r="1043" spans="1:7" x14ac:dyDescent="0.25">
      <c r="A1043" t="s">
        <v>7</v>
      </c>
      <c r="B1043" t="s">
        <v>8</v>
      </c>
      <c r="C1043" s="1">
        <v>43553</v>
      </c>
      <c r="D1043">
        <v>2019</v>
      </c>
      <c r="E1043">
        <v>3</v>
      </c>
      <c r="F1043">
        <v>0</v>
      </c>
      <c r="G1043" t="s">
        <v>9</v>
      </c>
    </row>
    <row r="1044" spans="1:7" x14ac:dyDescent="0.25">
      <c r="A1044" t="s">
        <v>7</v>
      </c>
      <c r="B1044" t="s">
        <v>8</v>
      </c>
      <c r="C1044" s="1">
        <v>43557</v>
      </c>
      <c r="D1044">
        <v>2019</v>
      </c>
      <c r="E1044">
        <v>4</v>
      </c>
      <c r="F1044">
        <v>0</v>
      </c>
      <c r="G1044" t="s">
        <v>9</v>
      </c>
    </row>
    <row r="1045" spans="1:7" x14ac:dyDescent="0.25">
      <c r="A1045" t="s">
        <v>7</v>
      </c>
      <c r="B1045" t="s">
        <v>8</v>
      </c>
      <c r="C1045" s="1">
        <v>43560</v>
      </c>
      <c r="D1045">
        <v>2019</v>
      </c>
      <c r="E1045">
        <v>4</v>
      </c>
      <c r="F1045">
        <v>0</v>
      </c>
      <c r="G1045" t="s">
        <v>9</v>
      </c>
    </row>
    <row r="1046" spans="1:7" x14ac:dyDescent="0.25">
      <c r="A1046" t="s">
        <v>7</v>
      </c>
      <c r="B1046" t="s">
        <v>8</v>
      </c>
      <c r="C1046" s="1">
        <v>43567</v>
      </c>
      <c r="D1046">
        <v>2019</v>
      </c>
      <c r="E1046">
        <v>4</v>
      </c>
      <c r="F1046">
        <v>0</v>
      </c>
      <c r="G1046" t="s">
        <v>9</v>
      </c>
    </row>
    <row r="1047" spans="1:7" x14ac:dyDescent="0.25">
      <c r="A1047" t="s">
        <v>7</v>
      </c>
      <c r="B1047" t="s">
        <v>8</v>
      </c>
      <c r="C1047" s="1">
        <v>43569</v>
      </c>
      <c r="D1047">
        <v>2019</v>
      </c>
      <c r="E1047">
        <v>4</v>
      </c>
      <c r="F1047">
        <v>0</v>
      </c>
      <c r="G1047" t="s">
        <v>9</v>
      </c>
    </row>
    <row r="1048" spans="1:7" x14ac:dyDescent="0.25">
      <c r="A1048" t="s">
        <v>7</v>
      </c>
      <c r="B1048" t="s">
        <v>8</v>
      </c>
      <c r="C1048" s="1">
        <v>43571</v>
      </c>
      <c r="D1048">
        <v>2019</v>
      </c>
      <c r="E1048">
        <v>4</v>
      </c>
      <c r="F1048">
        <v>0</v>
      </c>
      <c r="G1048" t="s">
        <v>9</v>
      </c>
    </row>
    <row r="1049" spans="1:7" x14ac:dyDescent="0.25">
      <c r="A1049" t="s">
        <v>7</v>
      </c>
      <c r="B1049" t="s">
        <v>8</v>
      </c>
      <c r="C1049" s="1">
        <v>43573</v>
      </c>
      <c r="D1049">
        <v>2019</v>
      </c>
      <c r="E1049">
        <v>4</v>
      </c>
      <c r="F1049">
        <v>0</v>
      </c>
      <c r="G1049" t="s">
        <v>9</v>
      </c>
    </row>
    <row r="1050" spans="1:7" x14ac:dyDescent="0.25">
      <c r="A1050" t="s">
        <v>7</v>
      </c>
      <c r="B1050" t="s">
        <v>8</v>
      </c>
      <c r="C1050" s="1">
        <v>43575</v>
      </c>
      <c r="D1050">
        <v>2019</v>
      </c>
      <c r="E1050">
        <v>4</v>
      </c>
      <c r="F1050">
        <v>0</v>
      </c>
      <c r="G1050" t="s">
        <v>9</v>
      </c>
    </row>
    <row r="1051" spans="1:7" x14ac:dyDescent="0.25">
      <c r="A1051" t="s">
        <v>7</v>
      </c>
      <c r="B1051" t="s">
        <v>8</v>
      </c>
      <c r="C1051" s="1">
        <v>43576</v>
      </c>
      <c r="D1051">
        <v>2019</v>
      </c>
      <c r="E1051">
        <v>4</v>
      </c>
      <c r="F1051">
        <v>0.22935670899999999</v>
      </c>
      <c r="G1051" t="s">
        <v>9</v>
      </c>
    </row>
    <row r="1052" spans="1:7" x14ac:dyDescent="0.25">
      <c r="A1052" t="s">
        <v>7</v>
      </c>
      <c r="B1052" t="s">
        <v>8</v>
      </c>
      <c r="C1052" s="1">
        <v>43580</v>
      </c>
      <c r="D1052">
        <v>2019</v>
      </c>
      <c r="E1052">
        <v>4</v>
      </c>
      <c r="F1052">
        <v>0</v>
      </c>
      <c r="G1052" t="s">
        <v>9</v>
      </c>
    </row>
    <row r="1053" spans="1:7" x14ac:dyDescent="0.25">
      <c r="A1053" t="s">
        <v>7</v>
      </c>
      <c r="B1053" t="s">
        <v>8</v>
      </c>
      <c r="C1053" s="1">
        <v>43582</v>
      </c>
      <c r="D1053">
        <v>2019</v>
      </c>
      <c r="E1053">
        <v>4</v>
      </c>
      <c r="F1053">
        <v>0</v>
      </c>
      <c r="G1053" t="s">
        <v>9</v>
      </c>
    </row>
    <row r="1054" spans="1:7" x14ac:dyDescent="0.25">
      <c r="A1054" t="s">
        <v>7</v>
      </c>
      <c r="B1054" t="s">
        <v>8</v>
      </c>
      <c r="C1054" s="1">
        <v>43585</v>
      </c>
      <c r="D1054">
        <v>2019</v>
      </c>
      <c r="E1054">
        <v>4</v>
      </c>
      <c r="F1054">
        <v>0</v>
      </c>
      <c r="G1054" t="s">
        <v>9</v>
      </c>
    </row>
    <row r="1055" spans="1:7" x14ac:dyDescent="0.25">
      <c r="A1055" t="s">
        <v>7</v>
      </c>
      <c r="B1055" t="s">
        <v>8</v>
      </c>
      <c r="C1055" s="1">
        <v>43587</v>
      </c>
      <c r="D1055">
        <v>2019</v>
      </c>
      <c r="E1055">
        <v>5</v>
      </c>
      <c r="F1055">
        <v>13.92292408</v>
      </c>
      <c r="G1055" t="s">
        <v>9</v>
      </c>
    </row>
    <row r="1056" spans="1:7" x14ac:dyDescent="0.25">
      <c r="A1056" t="s">
        <v>7</v>
      </c>
      <c r="B1056" t="s">
        <v>8</v>
      </c>
      <c r="C1056" s="1">
        <v>43591</v>
      </c>
      <c r="D1056">
        <v>2019</v>
      </c>
      <c r="E1056">
        <v>5</v>
      </c>
      <c r="F1056">
        <v>0</v>
      </c>
      <c r="G1056" t="s">
        <v>9</v>
      </c>
    </row>
    <row r="1057" spans="1:7" x14ac:dyDescent="0.25">
      <c r="A1057" t="s">
        <v>7</v>
      </c>
      <c r="B1057" t="s">
        <v>8</v>
      </c>
      <c r="C1057" s="1">
        <v>43594</v>
      </c>
      <c r="D1057">
        <v>2019</v>
      </c>
      <c r="E1057">
        <v>5</v>
      </c>
      <c r="F1057">
        <v>5.9523771000000003E-2</v>
      </c>
      <c r="G1057" t="s">
        <v>9</v>
      </c>
    </row>
    <row r="1058" spans="1:7" x14ac:dyDescent="0.25">
      <c r="A1058" t="s">
        <v>7</v>
      </c>
      <c r="B1058" t="s">
        <v>8</v>
      </c>
      <c r="C1058" s="1">
        <v>43610</v>
      </c>
      <c r="D1058">
        <v>2019</v>
      </c>
      <c r="E1058">
        <v>5</v>
      </c>
      <c r="F1058">
        <v>0</v>
      </c>
      <c r="G1058" t="s">
        <v>9</v>
      </c>
    </row>
    <row r="1059" spans="1:7" x14ac:dyDescent="0.25">
      <c r="A1059" t="s">
        <v>7</v>
      </c>
      <c r="B1059" t="s">
        <v>8</v>
      </c>
      <c r="C1059" s="1">
        <v>43615</v>
      </c>
      <c r="D1059">
        <v>2019</v>
      </c>
      <c r="E1059">
        <v>5</v>
      </c>
      <c r="F1059">
        <v>0</v>
      </c>
      <c r="G1059" t="s">
        <v>9</v>
      </c>
    </row>
    <row r="1060" spans="1:7" x14ac:dyDescent="0.25">
      <c r="A1060" t="s">
        <v>7</v>
      </c>
      <c r="B1060" t="s">
        <v>8</v>
      </c>
      <c r="C1060" s="1">
        <v>43617</v>
      </c>
      <c r="D1060">
        <v>2019</v>
      </c>
      <c r="E1060">
        <v>6</v>
      </c>
      <c r="F1060">
        <v>0</v>
      </c>
      <c r="G1060" t="s">
        <v>9</v>
      </c>
    </row>
    <row r="1061" spans="1:7" x14ac:dyDescent="0.25">
      <c r="A1061" t="s">
        <v>7</v>
      </c>
      <c r="B1061" t="s">
        <v>8</v>
      </c>
      <c r="C1061" s="1">
        <v>43635</v>
      </c>
      <c r="D1061">
        <v>2019</v>
      </c>
      <c r="E1061">
        <v>6</v>
      </c>
      <c r="F1061">
        <v>0</v>
      </c>
      <c r="G1061" t="s">
        <v>9</v>
      </c>
    </row>
    <row r="1062" spans="1:7" x14ac:dyDescent="0.25">
      <c r="A1062" t="s">
        <v>7</v>
      </c>
      <c r="B1062" t="s">
        <v>8</v>
      </c>
      <c r="C1062" s="1">
        <v>43638</v>
      </c>
      <c r="D1062">
        <v>2019</v>
      </c>
      <c r="E1062">
        <v>6</v>
      </c>
      <c r="F1062">
        <v>0</v>
      </c>
      <c r="G1062" t="s">
        <v>9</v>
      </c>
    </row>
    <row r="1063" spans="1:7" x14ac:dyDescent="0.25">
      <c r="A1063" t="s">
        <v>7</v>
      </c>
      <c r="B1063" t="s">
        <v>8</v>
      </c>
      <c r="C1063" s="1">
        <v>43642</v>
      </c>
      <c r="D1063">
        <v>2019</v>
      </c>
      <c r="E1063">
        <v>6</v>
      </c>
      <c r="F1063">
        <v>1.941025969</v>
      </c>
      <c r="G1063" t="s">
        <v>9</v>
      </c>
    </row>
    <row r="1064" spans="1:7" x14ac:dyDescent="0.25">
      <c r="A1064" t="s">
        <v>7</v>
      </c>
      <c r="B1064" t="s">
        <v>8</v>
      </c>
      <c r="C1064" s="1">
        <v>43647</v>
      </c>
      <c r="D1064">
        <v>2019</v>
      </c>
      <c r="E1064">
        <v>7</v>
      </c>
      <c r="F1064">
        <v>0</v>
      </c>
      <c r="G1064" t="s">
        <v>9</v>
      </c>
    </row>
    <row r="1065" spans="1:7" x14ac:dyDescent="0.25">
      <c r="A1065" t="s">
        <v>7</v>
      </c>
      <c r="B1065" t="s">
        <v>8</v>
      </c>
      <c r="C1065" s="1">
        <v>43654</v>
      </c>
      <c r="D1065">
        <v>2019</v>
      </c>
      <c r="E1065">
        <v>7</v>
      </c>
      <c r="F1065">
        <v>0</v>
      </c>
      <c r="G1065" t="s">
        <v>9</v>
      </c>
    </row>
    <row r="1066" spans="1:7" x14ac:dyDescent="0.25">
      <c r="A1066" t="s">
        <v>7</v>
      </c>
      <c r="B1066" t="s">
        <v>8</v>
      </c>
      <c r="C1066" s="1">
        <v>43662</v>
      </c>
      <c r="D1066">
        <v>2019</v>
      </c>
      <c r="E1066">
        <v>7</v>
      </c>
      <c r="F1066">
        <v>0</v>
      </c>
      <c r="G1066" t="s">
        <v>9</v>
      </c>
    </row>
    <row r="1067" spans="1:7" x14ac:dyDescent="0.25">
      <c r="A1067" t="s">
        <v>7</v>
      </c>
      <c r="B1067" t="s">
        <v>8</v>
      </c>
      <c r="C1067" s="1">
        <v>43663</v>
      </c>
      <c r="D1067">
        <v>2019</v>
      </c>
      <c r="E1067">
        <v>7</v>
      </c>
      <c r="F1067">
        <v>0</v>
      </c>
      <c r="G1067" t="s">
        <v>9</v>
      </c>
    </row>
    <row r="1068" spans="1:7" x14ac:dyDescent="0.25">
      <c r="A1068" t="s">
        <v>7</v>
      </c>
      <c r="B1068" t="s">
        <v>8</v>
      </c>
      <c r="C1068" s="1">
        <v>43675</v>
      </c>
      <c r="D1068">
        <v>2019</v>
      </c>
      <c r="E1068">
        <v>7</v>
      </c>
      <c r="F1068">
        <v>2.0788385229999999</v>
      </c>
      <c r="G1068" t="s">
        <v>9</v>
      </c>
    </row>
    <row r="1069" spans="1:7" x14ac:dyDescent="0.25">
      <c r="A1069" t="s">
        <v>7</v>
      </c>
      <c r="B1069" t="s">
        <v>8</v>
      </c>
      <c r="C1069" s="1">
        <v>43683</v>
      </c>
      <c r="D1069">
        <v>2019</v>
      </c>
      <c r="E1069">
        <v>8</v>
      </c>
      <c r="F1069">
        <v>3.3243750529999998</v>
      </c>
      <c r="G1069" t="s">
        <v>9</v>
      </c>
    </row>
    <row r="1070" spans="1:7" x14ac:dyDescent="0.25">
      <c r="A1070" t="s">
        <v>7</v>
      </c>
      <c r="B1070" t="s">
        <v>8</v>
      </c>
      <c r="C1070" s="1">
        <v>43684</v>
      </c>
      <c r="D1070">
        <v>2019</v>
      </c>
      <c r="E1070">
        <v>8</v>
      </c>
      <c r="F1070">
        <v>0</v>
      </c>
      <c r="G1070" t="s">
        <v>9</v>
      </c>
    </row>
    <row r="1071" spans="1:7" x14ac:dyDescent="0.25">
      <c r="A1071" t="s">
        <v>7</v>
      </c>
      <c r="B1071" t="s">
        <v>8</v>
      </c>
      <c r="C1071" s="1">
        <v>43685</v>
      </c>
      <c r="D1071">
        <v>2019</v>
      </c>
      <c r="E1071">
        <v>8</v>
      </c>
      <c r="F1071">
        <v>0.98780451599999997</v>
      </c>
      <c r="G1071" t="s">
        <v>9</v>
      </c>
    </row>
    <row r="1072" spans="1:7" x14ac:dyDescent="0.25">
      <c r="A1072" t="s">
        <v>7</v>
      </c>
      <c r="B1072" t="s">
        <v>8</v>
      </c>
      <c r="C1072" s="1">
        <v>43690</v>
      </c>
      <c r="D1072">
        <v>2019</v>
      </c>
      <c r="E1072">
        <v>8</v>
      </c>
      <c r="F1072">
        <v>0</v>
      </c>
      <c r="G1072" t="s">
        <v>9</v>
      </c>
    </row>
    <row r="1073" spans="1:7" x14ac:dyDescent="0.25">
      <c r="A1073" t="s">
        <v>7</v>
      </c>
      <c r="B1073" t="s">
        <v>8</v>
      </c>
      <c r="C1073" s="1">
        <v>43692</v>
      </c>
      <c r="D1073">
        <v>2019</v>
      </c>
      <c r="E1073">
        <v>8</v>
      </c>
      <c r="F1073">
        <v>1.387632325</v>
      </c>
      <c r="G1073" t="s">
        <v>9</v>
      </c>
    </row>
    <row r="1074" spans="1:7" x14ac:dyDescent="0.25">
      <c r="A1074" t="s">
        <v>7</v>
      </c>
      <c r="B1074" t="s">
        <v>8</v>
      </c>
      <c r="C1074" s="1">
        <v>43694</v>
      </c>
      <c r="D1074">
        <v>2019</v>
      </c>
      <c r="E1074">
        <v>8</v>
      </c>
      <c r="F1074">
        <v>47.535758430000001</v>
      </c>
      <c r="G1074" t="s">
        <v>9</v>
      </c>
    </row>
    <row r="1075" spans="1:7" x14ac:dyDescent="0.25">
      <c r="A1075" t="s">
        <v>7</v>
      </c>
      <c r="B1075" t="s">
        <v>8</v>
      </c>
      <c r="C1075" s="1">
        <v>43696</v>
      </c>
      <c r="D1075">
        <v>2019</v>
      </c>
      <c r="E1075">
        <v>8</v>
      </c>
      <c r="F1075">
        <v>12.19475192</v>
      </c>
      <c r="G1075" t="s">
        <v>9</v>
      </c>
    </row>
    <row r="1076" spans="1:7" x14ac:dyDescent="0.25">
      <c r="A1076" t="s">
        <v>7</v>
      </c>
      <c r="B1076" t="s">
        <v>8</v>
      </c>
      <c r="C1076" s="1">
        <v>43703</v>
      </c>
      <c r="D1076">
        <v>2019</v>
      </c>
      <c r="E1076">
        <v>8</v>
      </c>
      <c r="F1076">
        <v>0</v>
      </c>
      <c r="G1076" t="s">
        <v>9</v>
      </c>
    </row>
    <row r="1077" spans="1:7" x14ac:dyDescent="0.25">
      <c r="A1077" t="s">
        <v>7</v>
      </c>
      <c r="B1077" t="s">
        <v>8</v>
      </c>
      <c r="C1077" s="1">
        <v>43706</v>
      </c>
      <c r="D1077">
        <v>2019</v>
      </c>
      <c r="E1077">
        <v>8</v>
      </c>
      <c r="F1077">
        <v>0</v>
      </c>
      <c r="G1077" t="s">
        <v>9</v>
      </c>
    </row>
    <row r="1078" spans="1:7" x14ac:dyDescent="0.25">
      <c r="A1078" t="s">
        <v>7</v>
      </c>
      <c r="B1078" t="s">
        <v>8</v>
      </c>
      <c r="C1078" s="1">
        <v>43710</v>
      </c>
      <c r="D1078">
        <v>2019</v>
      </c>
      <c r="E1078">
        <v>9</v>
      </c>
      <c r="F1078">
        <v>0</v>
      </c>
      <c r="G1078" t="s">
        <v>9</v>
      </c>
    </row>
    <row r="1079" spans="1:7" x14ac:dyDescent="0.25">
      <c r="A1079" t="s">
        <v>7</v>
      </c>
      <c r="B1079" t="s">
        <v>8</v>
      </c>
      <c r="C1079" s="1">
        <v>43713</v>
      </c>
      <c r="D1079">
        <v>2019</v>
      </c>
      <c r="E1079">
        <v>9</v>
      </c>
      <c r="F1079">
        <v>10.751062810000001</v>
      </c>
      <c r="G1079" t="s">
        <v>9</v>
      </c>
    </row>
    <row r="1080" spans="1:7" x14ac:dyDescent="0.25">
      <c r="A1080" t="s">
        <v>7</v>
      </c>
      <c r="B1080" t="s">
        <v>8</v>
      </c>
      <c r="C1080" s="1">
        <v>43727</v>
      </c>
      <c r="D1080">
        <v>2019</v>
      </c>
      <c r="E1080">
        <v>9</v>
      </c>
      <c r="F1080">
        <v>0</v>
      </c>
      <c r="G1080" t="s">
        <v>9</v>
      </c>
    </row>
    <row r="1081" spans="1:7" x14ac:dyDescent="0.25">
      <c r="A1081" t="s">
        <v>7</v>
      </c>
      <c r="B1081" t="s">
        <v>8</v>
      </c>
      <c r="C1081" s="1">
        <v>43728</v>
      </c>
      <c r="D1081">
        <v>2019</v>
      </c>
      <c r="E1081">
        <v>9</v>
      </c>
      <c r="F1081">
        <v>0</v>
      </c>
      <c r="G1081" t="s">
        <v>9</v>
      </c>
    </row>
    <row r="1082" spans="1:7" x14ac:dyDescent="0.25">
      <c r="A1082" t="s">
        <v>7</v>
      </c>
      <c r="B1082" t="s">
        <v>8</v>
      </c>
      <c r="C1082" s="1">
        <v>43737</v>
      </c>
      <c r="D1082">
        <v>2019</v>
      </c>
      <c r="E1082">
        <v>9</v>
      </c>
      <c r="F1082">
        <v>1.7326804039999999</v>
      </c>
      <c r="G1082" t="s">
        <v>9</v>
      </c>
    </row>
    <row r="1083" spans="1:7" x14ac:dyDescent="0.25">
      <c r="A1083" t="s">
        <v>7</v>
      </c>
      <c r="B1083" t="s">
        <v>8</v>
      </c>
      <c r="C1083" s="1">
        <v>43741</v>
      </c>
      <c r="D1083">
        <v>2019</v>
      </c>
      <c r="E1083">
        <v>10</v>
      </c>
      <c r="F1083">
        <v>0</v>
      </c>
      <c r="G1083" t="s">
        <v>9</v>
      </c>
    </row>
    <row r="1084" spans="1:7" x14ac:dyDescent="0.25">
      <c r="A1084" t="s">
        <v>7</v>
      </c>
      <c r="B1084" t="s">
        <v>8</v>
      </c>
      <c r="C1084" s="1">
        <v>43743</v>
      </c>
      <c r="D1084">
        <v>2019</v>
      </c>
      <c r="E1084">
        <v>10</v>
      </c>
      <c r="F1084">
        <v>0</v>
      </c>
      <c r="G1084" t="s">
        <v>9</v>
      </c>
    </row>
    <row r="1085" spans="1:7" x14ac:dyDescent="0.25">
      <c r="A1085" t="s">
        <v>7</v>
      </c>
      <c r="B1085" t="s">
        <v>8</v>
      </c>
      <c r="C1085" s="1">
        <v>43746</v>
      </c>
      <c r="D1085">
        <v>2019</v>
      </c>
      <c r="E1085">
        <v>10</v>
      </c>
      <c r="F1085">
        <v>0</v>
      </c>
      <c r="G1085" t="s">
        <v>9</v>
      </c>
    </row>
    <row r="1086" spans="1:7" x14ac:dyDescent="0.25">
      <c r="A1086" t="s">
        <v>7</v>
      </c>
      <c r="B1086" t="s">
        <v>8</v>
      </c>
      <c r="C1086" s="1">
        <v>43752</v>
      </c>
      <c r="D1086">
        <v>2019</v>
      </c>
      <c r="E1086">
        <v>10</v>
      </c>
      <c r="F1086">
        <v>0</v>
      </c>
      <c r="G1086" t="s">
        <v>9</v>
      </c>
    </row>
    <row r="1087" spans="1:7" x14ac:dyDescent="0.25">
      <c r="A1087" t="s">
        <v>7</v>
      </c>
      <c r="B1087" t="s">
        <v>8</v>
      </c>
      <c r="C1087" s="1">
        <v>43760</v>
      </c>
      <c r="D1087">
        <v>2019</v>
      </c>
      <c r="E1087">
        <v>10</v>
      </c>
      <c r="F1087">
        <v>2.46588356</v>
      </c>
      <c r="G1087" t="s">
        <v>9</v>
      </c>
    </row>
    <row r="1088" spans="1:7" x14ac:dyDescent="0.25">
      <c r="A1088" t="s">
        <v>7</v>
      </c>
      <c r="B1088" t="s">
        <v>8</v>
      </c>
      <c r="C1088" s="1">
        <v>43762</v>
      </c>
      <c r="D1088">
        <v>2019</v>
      </c>
      <c r="E1088">
        <v>10</v>
      </c>
      <c r="F1088">
        <v>17.862553299999998</v>
      </c>
      <c r="G1088" t="s">
        <v>9</v>
      </c>
    </row>
    <row r="1089" spans="1:7" x14ac:dyDescent="0.25">
      <c r="A1089" t="s">
        <v>7</v>
      </c>
      <c r="B1089" t="s">
        <v>8</v>
      </c>
      <c r="C1089" s="1">
        <v>43763</v>
      </c>
      <c r="D1089">
        <v>2019</v>
      </c>
      <c r="E1089">
        <v>10</v>
      </c>
      <c r="F1089">
        <v>0</v>
      </c>
      <c r="G1089" t="s">
        <v>9</v>
      </c>
    </row>
    <row r="1090" spans="1:7" x14ac:dyDescent="0.25">
      <c r="A1090" t="s">
        <v>7</v>
      </c>
      <c r="B1090" t="s">
        <v>8</v>
      </c>
      <c r="C1090" s="1">
        <v>43766</v>
      </c>
      <c r="D1090">
        <v>2019</v>
      </c>
      <c r="E1090">
        <v>10</v>
      </c>
      <c r="F1090">
        <v>8.1344327389999993</v>
      </c>
      <c r="G1090" t="s">
        <v>9</v>
      </c>
    </row>
    <row r="1091" spans="1:7" x14ac:dyDescent="0.25">
      <c r="A1091" t="s">
        <v>7</v>
      </c>
      <c r="B1091" t="s">
        <v>8</v>
      </c>
      <c r="C1091" s="1">
        <v>43769</v>
      </c>
      <c r="D1091">
        <v>2019</v>
      </c>
      <c r="E1091">
        <v>10</v>
      </c>
      <c r="F1091">
        <v>41.826068640000003</v>
      </c>
      <c r="G1091" t="s">
        <v>9</v>
      </c>
    </row>
    <row r="1092" spans="1:7" x14ac:dyDescent="0.25">
      <c r="A1092" t="s">
        <v>7</v>
      </c>
      <c r="B1092" t="s">
        <v>8</v>
      </c>
      <c r="C1092" s="1">
        <v>43788</v>
      </c>
      <c r="D1092">
        <v>2019</v>
      </c>
      <c r="E1092">
        <v>11</v>
      </c>
      <c r="F1092">
        <v>9.885146142</v>
      </c>
      <c r="G1092" t="s">
        <v>9</v>
      </c>
    </row>
    <row r="1093" spans="1:7" x14ac:dyDescent="0.25">
      <c r="A1093" t="s">
        <v>7</v>
      </c>
      <c r="B1093" t="s">
        <v>8</v>
      </c>
      <c r="C1093" s="1">
        <v>43802</v>
      </c>
      <c r="D1093">
        <v>2019</v>
      </c>
      <c r="E1093">
        <v>12</v>
      </c>
      <c r="F1093">
        <v>15.908271239999999</v>
      </c>
      <c r="G1093" t="s">
        <v>9</v>
      </c>
    </row>
    <row r="1094" spans="1:7" x14ac:dyDescent="0.25">
      <c r="A1094" t="s">
        <v>7</v>
      </c>
      <c r="B1094" t="s">
        <v>8</v>
      </c>
      <c r="C1094" s="1">
        <v>43806</v>
      </c>
      <c r="D1094">
        <v>2019</v>
      </c>
      <c r="E1094">
        <v>12</v>
      </c>
      <c r="F1094">
        <v>0</v>
      </c>
      <c r="G1094" t="s">
        <v>9</v>
      </c>
    </row>
    <row r="1095" spans="1:7" x14ac:dyDescent="0.25">
      <c r="A1095" t="s">
        <v>7</v>
      </c>
      <c r="B1095" t="s">
        <v>8</v>
      </c>
      <c r="C1095" s="1">
        <v>43808</v>
      </c>
      <c r="D1095">
        <v>2019</v>
      </c>
      <c r="E1095">
        <v>12</v>
      </c>
      <c r="F1095">
        <v>0</v>
      </c>
      <c r="G1095" t="s">
        <v>9</v>
      </c>
    </row>
    <row r="1096" spans="1:7" x14ac:dyDescent="0.25">
      <c r="A1096" t="s">
        <v>7</v>
      </c>
      <c r="B1096" t="s">
        <v>8</v>
      </c>
      <c r="C1096" s="1">
        <v>43814</v>
      </c>
      <c r="D1096">
        <v>2019</v>
      </c>
      <c r="E1096">
        <v>12</v>
      </c>
      <c r="F1096">
        <v>6.2768600990000003</v>
      </c>
      <c r="G1096" t="s">
        <v>9</v>
      </c>
    </row>
    <row r="1097" spans="1:7" x14ac:dyDescent="0.25">
      <c r="A1097" t="s">
        <v>7</v>
      </c>
      <c r="B1097" t="s">
        <v>8</v>
      </c>
      <c r="C1097" s="1">
        <v>43825</v>
      </c>
      <c r="D1097">
        <v>2019</v>
      </c>
      <c r="E1097">
        <v>12</v>
      </c>
      <c r="F1097">
        <v>0.162071351</v>
      </c>
      <c r="G1097" t="s">
        <v>9</v>
      </c>
    </row>
    <row r="1098" spans="1:7" x14ac:dyDescent="0.25">
      <c r="A1098" t="s">
        <v>7</v>
      </c>
      <c r="B1098" t="s">
        <v>8</v>
      </c>
      <c r="C1098" s="1">
        <v>43829</v>
      </c>
      <c r="D1098">
        <v>2019</v>
      </c>
      <c r="E1098">
        <v>12</v>
      </c>
      <c r="F1098">
        <v>0</v>
      </c>
      <c r="G1098" t="s">
        <v>9</v>
      </c>
    </row>
    <row r="1099" spans="1:7" x14ac:dyDescent="0.25">
      <c r="A1099" t="s">
        <v>7</v>
      </c>
      <c r="B1099" t="s">
        <v>8</v>
      </c>
      <c r="C1099" s="1">
        <v>43609</v>
      </c>
      <c r="D1099">
        <v>2019</v>
      </c>
      <c r="E1099">
        <v>5</v>
      </c>
      <c r="F1099">
        <v>0</v>
      </c>
      <c r="G1099" t="s">
        <v>9</v>
      </c>
    </row>
    <row r="1100" spans="1:7" x14ac:dyDescent="0.25">
      <c r="A1100" t="s">
        <v>7</v>
      </c>
      <c r="B1100" t="s">
        <v>8</v>
      </c>
      <c r="C1100" s="1">
        <v>43742</v>
      </c>
      <c r="D1100">
        <v>2019</v>
      </c>
      <c r="E1100">
        <v>10</v>
      </c>
      <c r="F1100">
        <v>0</v>
      </c>
      <c r="G1100" t="s">
        <v>9</v>
      </c>
    </row>
    <row r="1101" spans="1:7" x14ac:dyDescent="0.25">
      <c r="A1101" t="s">
        <v>7</v>
      </c>
      <c r="B1101" t="s">
        <v>10</v>
      </c>
      <c r="C1101" s="1">
        <v>43469</v>
      </c>
      <c r="D1101">
        <v>2019</v>
      </c>
      <c r="E1101">
        <v>1</v>
      </c>
      <c r="F1101">
        <v>0</v>
      </c>
      <c r="G1101" t="s">
        <v>9</v>
      </c>
    </row>
    <row r="1102" spans="1:7" x14ac:dyDescent="0.25">
      <c r="A1102" t="s">
        <v>7</v>
      </c>
      <c r="B1102" t="s">
        <v>10</v>
      </c>
      <c r="C1102" s="1">
        <v>43470</v>
      </c>
      <c r="D1102">
        <v>2019</v>
      </c>
      <c r="E1102">
        <v>1</v>
      </c>
      <c r="F1102">
        <v>0</v>
      </c>
      <c r="G1102" t="s">
        <v>9</v>
      </c>
    </row>
    <row r="1103" spans="1:7" x14ac:dyDescent="0.25">
      <c r="A1103" t="s">
        <v>7</v>
      </c>
      <c r="B1103" t="s">
        <v>10</v>
      </c>
      <c r="C1103" s="1">
        <v>43471</v>
      </c>
      <c r="D1103">
        <v>2019</v>
      </c>
      <c r="E1103">
        <v>1</v>
      </c>
      <c r="F1103">
        <v>0</v>
      </c>
      <c r="G1103" t="s">
        <v>9</v>
      </c>
    </row>
    <row r="1104" spans="1:7" x14ac:dyDescent="0.25">
      <c r="A1104" t="s">
        <v>7</v>
      </c>
      <c r="B1104" t="s">
        <v>10</v>
      </c>
      <c r="C1104" s="1">
        <v>43472</v>
      </c>
      <c r="D1104">
        <v>2019</v>
      </c>
      <c r="E1104">
        <v>1</v>
      </c>
      <c r="F1104">
        <v>0</v>
      </c>
      <c r="G1104" t="s">
        <v>9</v>
      </c>
    </row>
    <row r="1105" spans="1:7" x14ac:dyDescent="0.25">
      <c r="A1105" t="s">
        <v>7</v>
      </c>
      <c r="B1105" t="s">
        <v>10</v>
      </c>
      <c r="C1105" s="1">
        <v>43478</v>
      </c>
      <c r="D1105">
        <v>2019</v>
      </c>
      <c r="E1105">
        <v>1</v>
      </c>
      <c r="F1105">
        <v>0</v>
      </c>
      <c r="G1105" t="s">
        <v>9</v>
      </c>
    </row>
    <row r="1106" spans="1:7" x14ac:dyDescent="0.25">
      <c r="A1106" t="s">
        <v>7</v>
      </c>
      <c r="B1106" t="s">
        <v>10</v>
      </c>
      <c r="C1106" s="1">
        <v>43486</v>
      </c>
      <c r="D1106">
        <v>2019</v>
      </c>
      <c r="E1106">
        <v>1</v>
      </c>
      <c r="F1106">
        <v>0</v>
      </c>
      <c r="G1106" t="s">
        <v>9</v>
      </c>
    </row>
    <row r="1107" spans="1:7" x14ac:dyDescent="0.25">
      <c r="A1107" t="s">
        <v>7</v>
      </c>
      <c r="B1107" t="s">
        <v>10</v>
      </c>
      <c r="C1107" s="1">
        <v>43488</v>
      </c>
      <c r="D1107">
        <v>2019</v>
      </c>
      <c r="E1107">
        <v>1</v>
      </c>
      <c r="F1107">
        <v>0</v>
      </c>
      <c r="G1107" t="s">
        <v>9</v>
      </c>
    </row>
    <row r="1108" spans="1:7" x14ac:dyDescent="0.25">
      <c r="A1108" t="s">
        <v>7</v>
      </c>
      <c r="B1108" t="s">
        <v>10</v>
      </c>
      <c r="C1108" s="1">
        <v>43491</v>
      </c>
      <c r="D1108">
        <v>2019</v>
      </c>
      <c r="E1108">
        <v>1</v>
      </c>
      <c r="F1108">
        <v>0</v>
      </c>
      <c r="G1108" t="s">
        <v>9</v>
      </c>
    </row>
    <row r="1109" spans="1:7" x14ac:dyDescent="0.25">
      <c r="A1109" t="s">
        <v>7</v>
      </c>
      <c r="B1109" t="s">
        <v>10</v>
      </c>
      <c r="C1109" s="1">
        <v>43498</v>
      </c>
      <c r="D1109">
        <v>2019</v>
      </c>
      <c r="E1109">
        <v>2</v>
      </c>
      <c r="F1109">
        <v>0</v>
      </c>
      <c r="G1109" t="s">
        <v>9</v>
      </c>
    </row>
    <row r="1110" spans="1:7" x14ac:dyDescent="0.25">
      <c r="A1110" t="s">
        <v>7</v>
      </c>
      <c r="B1110" t="s">
        <v>10</v>
      </c>
      <c r="C1110" s="1">
        <v>43501</v>
      </c>
      <c r="D1110">
        <v>2019</v>
      </c>
      <c r="E1110">
        <v>2</v>
      </c>
      <c r="F1110">
        <v>0</v>
      </c>
      <c r="G1110" t="s">
        <v>9</v>
      </c>
    </row>
    <row r="1111" spans="1:7" x14ac:dyDescent="0.25">
      <c r="A1111" t="s">
        <v>7</v>
      </c>
      <c r="B1111" t="s">
        <v>10</v>
      </c>
      <c r="C1111" s="1">
        <v>43502</v>
      </c>
      <c r="D1111">
        <v>2019</v>
      </c>
      <c r="E1111">
        <v>2</v>
      </c>
      <c r="F1111">
        <v>0</v>
      </c>
      <c r="G1111" t="s">
        <v>9</v>
      </c>
    </row>
    <row r="1112" spans="1:7" x14ac:dyDescent="0.25">
      <c r="A1112" t="s">
        <v>7</v>
      </c>
      <c r="B1112" t="s">
        <v>10</v>
      </c>
      <c r="C1112" s="1">
        <v>43505</v>
      </c>
      <c r="D1112">
        <v>2019</v>
      </c>
      <c r="E1112">
        <v>2</v>
      </c>
      <c r="F1112">
        <v>0</v>
      </c>
      <c r="G1112" t="s">
        <v>9</v>
      </c>
    </row>
    <row r="1113" spans="1:7" x14ac:dyDescent="0.25">
      <c r="A1113" t="s">
        <v>7</v>
      </c>
      <c r="B1113" t="s">
        <v>10</v>
      </c>
      <c r="C1113" s="1">
        <v>43506</v>
      </c>
      <c r="D1113">
        <v>2019</v>
      </c>
      <c r="E1113">
        <v>2</v>
      </c>
      <c r="F1113">
        <v>0</v>
      </c>
      <c r="G1113" t="s">
        <v>9</v>
      </c>
    </row>
    <row r="1114" spans="1:7" x14ac:dyDescent="0.25">
      <c r="A1114" t="s">
        <v>7</v>
      </c>
      <c r="B1114" t="s">
        <v>10</v>
      </c>
      <c r="C1114" s="1">
        <v>43512</v>
      </c>
      <c r="D1114">
        <v>2019</v>
      </c>
      <c r="E1114">
        <v>2</v>
      </c>
      <c r="F1114">
        <v>0</v>
      </c>
      <c r="G1114" t="s">
        <v>9</v>
      </c>
    </row>
    <row r="1115" spans="1:7" x14ac:dyDescent="0.25">
      <c r="A1115" t="s">
        <v>7</v>
      </c>
      <c r="B1115" t="s">
        <v>10</v>
      </c>
      <c r="C1115" s="1">
        <v>43521</v>
      </c>
      <c r="D1115">
        <v>2019</v>
      </c>
      <c r="E1115">
        <v>2</v>
      </c>
      <c r="F1115">
        <v>0</v>
      </c>
      <c r="G1115" t="s">
        <v>9</v>
      </c>
    </row>
    <row r="1116" spans="1:7" x14ac:dyDescent="0.25">
      <c r="A1116" t="s">
        <v>7</v>
      </c>
      <c r="B1116" t="s">
        <v>10</v>
      </c>
      <c r="C1116" s="1">
        <v>43528</v>
      </c>
      <c r="D1116">
        <v>2019</v>
      </c>
      <c r="E1116">
        <v>3</v>
      </c>
      <c r="F1116">
        <v>4.3192539219999997</v>
      </c>
      <c r="G1116" t="s">
        <v>9</v>
      </c>
    </row>
    <row r="1117" spans="1:7" x14ac:dyDescent="0.25">
      <c r="A1117" t="s">
        <v>7</v>
      </c>
      <c r="B1117" t="s">
        <v>10</v>
      </c>
      <c r="C1117" s="1">
        <v>43530</v>
      </c>
      <c r="D1117">
        <v>2019</v>
      </c>
      <c r="E1117">
        <v>3</v>
      </c>
      <c r="F1117">
        <v>0</v>
      </c>
      <c r="G1117" t="s">
        <v>9</v>
      </c>
    </row>
    <row r="1118" spans="1:7" x14ac:dyDescent="0.25">
      <c r="A1118" t="s">
        <v>7</v>
      </c>
      <c r="B1118" t="s">
        <v>10</v>
      </c>
      <c r="C1118" s="1">
        <v>43531</v>
      </c>
      <c r="D1118">
        <v>2019</v>
      </c>
      <c r="E1118">
        <v>3</v>
      </c>
      <c r="F1118">
        <v>0</v>
      </c>
      <c r="G1118" t="s">
        <v>9</v>
      </c>
    </row>
    <row r="1119" spans="1:7" x14ac:dyDescent="0.25">
      <c r="A1119" t="s">
        <v>7</v>
      </c>
      <c r="B1119" t="s">
        <v>10</v>
      </c>
      <c r="C1119" s="1">
        <v>43533</v>
      </c>
      <c r="D1119">
        <v>2019</v>
      </c>
      <c r="E1119">
        <v>3</v>
      </c>
      <c r="F1119">
        <v>0.20798027499999999</v>
      </c>
      <c r="G1119" t="s">
        <v>9</v>
      </c>
    </row>
    <row r="1120" spans="1:7" x14ac:dyDescent="0.25">
      <c r="A1120" t="s">
        <v>7</v>
      </c>
      <c r="B1120" t="s">
        <v>10</v>
      </c>
      <c r="C1120" s="1">
        <v>43551</v>
      </c>
      <c r="D1120">
        <v>2019</v>
      </c>
      <c r="E1120">
        <v>3</v>
      </c>
      <c r="F1120">
        <v>0</v>
      </c>
      <c r="G1120" t="s">
        <v>9</v>
      </c>
    </row>
    <row r="1121" spans="1:7" x14ac:dyDescent="0.25">
      <c r="A1121" t="s">
        <v>7</v>
      </c>
      <c r="B1121" t="s">
        <v>10</v>
      </c>
      <c r="C1121" s="1">
        <v>43553</v>
      </c>
      <c r="D1121">
        <v>2019</v>
      </c>
      <c r="E1121">
        <v>3</v>
      </c>
      <c r="F1121">
        <v>0</v>
      </c>
      <c r="G1121" t="s">
        <v>9</v>
      </c>
    </row>
    <row r="1122" spans="1:7" x14ac:dyDescent="0.25">
      <c r="A1122" t="s">
        <v>7</v>
      </c>
      <c r="B1122" t="s">
        <v>10</v>
      </c>
      <c r="C1122" s="1">
        <v>43554</v>
      </c>
      <c r="D1122">
        <v>2019</v>
      </c>
      <c r="E1122">
        <v>3</v>
      </c>
      <c r="F1122">
        <v>0</v>
      </c>
      <c r="G1122" t="s">
        <v>9</v>
      </c>
    </row>
    <row r="1123" spans="1:7" x14ac:dyDescent="0.25">
      <c r="A1123" t="s">
        <v>7</v>
      </c>
      <c r="B1123" t="s">
        <v>10</v>
      </c>
      <c r="C1123" s="1">
        <v>43560</v>
      </c>
      <c r="D1123">
        <v>2019</v>
      </c>
      <c r="E1123">
        <v>4</v>
      </c>
      <c r="F1123">
        <v>0</v>
      </c>
      <c r="G1123" t="s">
        <v>9</v>
      </c>
    </row>
    <row r="1124" spans="1:7" x14ac:dyDescent="0.25">
      <c r="A1124" t="s">
        <v>7</v>
      </c>
      <c r="B1124" t="s">
        <v>10</v>
      </c>
      <c r="C1124" s="1">
        <v>43564</v>
      </c>
      <c r="D1124">
        <v>2019</v>
      </c>
      <c r="E1124">
        <v>4</v>
      </c>
      <c r="F1124">
        <v>0</v>
      </c>
      <c r="G1124" t="s">
        <v>9</v>
      </c>
    </row>
    <row r="1125" spans="1:7" x14ac:dyDescent="0.25">
      <c r="A1125" t="s">
        <v>7</v>
      </c>
      <c r="B1125" t="s">
        <v>10</v>
      </c>
      <c r="C1125" s="1">
        <v>43575</v>
      </c>
      <c r="D1125">
        <v>2019</v>
      </c>
      <c r="E1125">
        <v>4</v>
      </c>
      <c r="F1125">
        <v>0</v>
      </c>
      <c r="G1125" t="s">
        <v>9</v>
      </c>
    </row>
    <row r="1126" spans="1:7" x14ac:dyDescent="0.25">
      <c r="A1126" t="s">
        <v>7</v>
      </c>
      <c r="B1126" t="s">
        <v>10</v>
      </c>
      <c r="C1126" s="1">
        <v>43582</v>
      </c>
      <c r="D1126">
        <v>2019</v>
      </c>
      <c r="E1126">
        <v>4</v>
      </c>
      <c r="F1126">
        <v>1.9845222229999999</v>
      </c>
      <c r="G1126" t="s">
        <v>9</v>
      </c>
    </row>
    <row r="1127" spans="1:7" x14ac:dyDescent="0.25">
      <c r="A1127" t="s">
        <v>7</v>
      </c>
      <c r="B1127" t="s">
        <v>10</v>
      </c>
      <c r="C1127" s="1">
        <v>43584</v>
      </c>
      <c r="D1127">
        <v>2019</v>
      </c>
      <c r="E1127">
        <v>4</v>
      </c>
      <c r="F1127">
        <v>0</v>
      </c>
      <c r="G1127" t="s">
        <v>9</v>
      </c>
    </row>
    <row r="1128" spans="1:7" x14ac:dyDescent="0.25">
      <c r="A1128" t="s">
        <v>7</v>
      </c>
      <c r="B1128" t="s">
        <v>10</v>
      </c>
      <c r="C1128" s="1">
        <v>43590</v>
      </c>
      <c r="D1128">
        <v>2019</v>
      </c>
      <c r="E1128">
        <v>5</v>
      </c>
      <c r="F1128">
        <v>0</v>
      </c>
      <c r="G1128" t="s">
        <v>9</v>
      </c>
    </row>
    <row r="1129" spans="1:7" x14ac:dyDescent="0.25">
      <c r="A1129" t="s">
        <v>7</v>
      </c>
      <c r="B1129" t="s">
        <v>10</v>
      </c>
      <c r="C1129" s="1">
        <v>43606</v>
      </c>
      <c r="D1129">
        <v>2019</v>
      </c>
      <c r="E1129">
        <v>5</v>
      </c>
      <c r="F1129">
        <v>0</v>
      </c>
      <c r="G1129" t="s">
        <v>9</v>
      </c>
    </row>
    <row r="1130" spans="1:7" x14ac:dyDescent="0.25">
      <c r="A1130" t="s">
        <v>7</v>
      </c>
      <c r="B1130" t="s">
        <v>10</v>
      </c>
      <c r="C1130" s="1">
        <v>43619</v>
      </c>
      <c r="D1130">
        <v>2019</v>
      </c>
      <c r="E1130">
        <v>6</v>
      </c>
      <c r="F1130">
        <v>0</v>
      </c>
      <c r="G1130" t="s">
        <v>9</v>
      </c>
    </row>
    <row r="1131" spans="1:7" x14ac:dyDescent="0.25">
      <c r="A1131" t="s">
        <v>7</v>
      </c>
      <c r="B1131" t="s">
        <v>10</v>
      </c>
      <c r="C1131" s="1">
        <v>43620</v>
      </c>
      <c r="D1131">
        <v>2019</v>
      </c>
      <c r="E1131">
        <v>6</v>
      </c>
      <c r="F1131">
        <v>7.7177491189999996</v>
      </c>
      <c r="G1131" t="s">
        <v>9</v>
      </c>
    </row>
    <row r="1132" spans="1:7" x14ac:dyDescent="0.25">
      <c r="A1132" t="s">
        <v>7</v>
      </c>
      <c r="B1132" t="s">
        <v>10</v>
      </c>
      <c r="C1132" s="1">
        <v>43625</v>
      </c>
      <c r="D1132">
        <v>2019</v>
      </c>
      <c r="E1132">
        <v>6</v>
      </c>
      <c r="F1132">
        <v>0</v>
      </c>
      <c r="G1132" t="s">
        <v>9</v>
      </c>
    </row>
    <row r="1133" spans="1:7" x14ac:dyDescent="0.25">
      <c r="A1133" t="s">
        <v>7</v>
      </c>
      <c r="B1133" t="s">
        <v>10</v>
      </c>
      <c r="C1133" s="1">
        <v>43628</v>
      </c>
      <c r="D1133">
        <v>2019</v>
      </c>
      <c r="E1133">
        <v>6</v>
      </c>
      <c r="F1133">
        <v>0</v>
      </c>
      <c r="G1133" t="s">
        <v>9</v>
      </c>
    </row>
    <row r="1134" spans="1:7" x14ac:dyDescent="0.25">
      <c r="A1134" t="s">
        <v>7</v>
      </c>
      <c r="B1134" t="s">
        <v>10</v>
      </c>
      <c r="C1134" s="1">
        <v>43629</v>
      </c>
      <c r="D1134">
        <v>2019</v>
      </c>
      <c r="E1134">
        <v>6</v>
      </c>
      <c r="F1134">
        <v>0</v>
      </c>
      <c r="G1134" t="s">
        <v>9</v>
      </c>
    </row>
    <row r="1135" spans="1:7" x14ac:dyDescent="0.25">
      <c r="A1135" t="s">
        <v>7</v>
      </c>
      <c r="B1135" t="s">
        <v>10</v>
      </c>
      <c r="C1135" s="1">
        <v>43633</v>
      </c>
      <c r="D1135">
        <v>2019</v>
      </c>
      <c r="E1135">
        <v>6</v>
      </c>
      <c r="F1135">
        <v>0.46694639300000002</v>
      </c>
      <c r="G1135" t="s">
        <v>9</v>
      </c>
    </row>
    <row r="1136" spans="1:7" x14ac:dyDescent="0.25">
      <c r="A1136" t="s">
        <v>7</v>
      </c>
      <c r="B1136" t="s">
        <v>10</v>
      </c>
      <c r="C1136" s="1">
        <v>43634</v>
      </c>
      <c r="D1136">
        <v>2019</v>
      </c>
      <c r="E1136">
        <v>6</v>
      </c>
      <c r="F1136">
        <v>8.8585004810000001</v>
      </c>
      <c r="G1136" t="s">
        <v>9</v>
      </c>
    </row>
    <row r="1137" spans="1:7" x14ac:dyDescent="0.25">
      <c r="A1137" t="s">
        <v>7</v>
      </c>
      <c r="B1137" t="s">
        <v>10</v>
      </c>
      <c r="C1137" s="1">
        <v>43637</v>
      </c>
      <c r="D1137">
        <v>2019</v>
      </c>
      <c r="E1137">
        <v>6</v>
      </c>
      <c r="F1137">
        <v>5.8396210670000004</v>
      </c>
      <c r="G1137" t="s">
        <v>9</v>
      </c>
    </row>
    <row r="1138" spans="1:7" x14ac:dyDescent="0.25">
      <c r="A1138" t="s">
        <v>7</v>
      </c>
      <c r="B1138" t="s">
        <v>10</v>
      </c>
      <c r="C1138" s="1">
        <v>43638</v>
      </c>
      <c r="D1138">
        <v>2019</v>
      </c>
      <c r="E1138">
        <v>6</v>
      </c>
      <c r="F1138">
        <v>6.0753636359999996</v>
      </c>
      <c r="G1138" t="s">
        <v>9</v>
      </c>
    </row>
    <row r="1139" spans="1:7" x14ac:dyDescent="0.25">
      <c r="A1139" t="s">
        <v>7</v>
      </c>
      <c r="B1139" t="s">
        <v>10</v>
      </c>
      <c r="C1139" s="1">
        <v>43643</v>
      </c>
      <c r="D1139">
        <v>2019</v>
      </c>
      <c r="E1139">
        <v>6</v>
      </c>
      <c r="F1139">
        <v>7.8213515280000001</v>
      </c>
      <c r="G1139" t="s">
        <v>9</v>
      </c>
    </row>
    <row r="1140" spans="1:7" x14ac:dyDescent="0.25">
      <c r="A1140" t="s">
        <v>7</v>
      </c>
      <c r="B1140" t="s">
        <v>10</v>
      </c>
      <c r="C1140" s="1">
        <v>43663</v>
      </c>
      <c r="D1140">
        <v>2019</v>
      </c>
      <c r="E1140">
        <v>7</v>
      </c>
      <c r="F1140">
        <v>0</v>
      </c>
      <c r="G1140" t="s">
        <v>9</v>
      </c>
    </row>
    <row r="1141" spans="1:7" x14ac:dyDescent="0.25">
      <c r="A1141" t="s">
        <v>7</v>
      </c>
      <c r="B1141" t="s">
        <v>10</v>
      </c>
      <c r="C1141" s="1">
        <v>43667</v>
      </c>
      <c r="D1141">
        <v>2019</v>
      </c>
      <c r="E1141">
        <v>7</v>
      </c>
      <c r="F1141">
        <v>1.0180606839999999</v>
      </c>
      <c r="G1141" t="s">
        <v>9</v>
      </c>
    </row>
    <row r="1142" spans="1:7" x14ac:dyDescent="0.25">
      <c r="A1142" t="s">
        <v>7</v>
      </c>
      <c r="B1142" t="s">
        <v>10</v>
      </c>
      <c r="C1142" s="1">
        <v>43675</v>
      </c>
      <c r="D1142">
        <v>2019</v>
      </c>
      <c r="E1142">
        <v>7</v>
      </c>
      <c r="F1142">
        <v>19.931537630000001</v>
      </c>
      <c r="G1142" t="s">
        <v>9</v>
      </c>
    </row>
    <row r="1143" spans="1:7" x14ac:dyDescent="0.25">
      <c r="A1143" t="s">
        <v>7</v>
      </c>
      <c r="B1143" t="s">
        <v>10</v>
      </c>
      <c r="C1143" s="1">
        <v>43678</v>
      </c>
      <c r="D1143">
        <v>2019</v>
      </c>
      <c r="E1143">
        <v>8</v>
      </c>
      <c r="F1143">
        <v>3.62544179</v>
      </c>
      <c r="G1143" t="s">
        <v>9</v>
      </c>
    </row>
    <row r="1144" spans="1:7" x14ac:dyDescent="0.25">
      <c r="A1144" t="s">
        <v>7</v>
      </c>
      <c r="B1144" t="s">
        <v>10</v>
      </c>
      <c r="C1144" s="1">
        <v>43692</v>
      </c>
      <c r="D1144">
        <v>2019</v>
      </c>
      <c r="E1144">
        <v>8</v>
      </c>
      <c r="F1144">
        <v>2.5564680100000001</v>
      </c>
      <c r="G1144" t="s">
        <v>9</v>
      </c>
    </row>
    <row r="1145" spans="1:7" x14ac:dyDescent="0.25">
      <c r="A1145" t="s">
        <v>7</v>
      </c>
      <c r="B1145" t="s">
        <v>10</v>
      </c>
      <c r="C1145" s="1">
        <v>43697</v>
      </c>
      <c r="D1145">
        <v>2019</v>
      </c>
      <c r="E1145">
        <v>8</v>
      </c>
      <c r="F1145">
        <v>5.4142313</v>
      </c>
      <c r="G1145" t="s">
        <v>9</v>
      </c>
    </row>
    <row r="1146" spans="1:7" x14ac:dyDescent="0.25">
      <c r="A1146" t="s">
        <v>7</v>
      </c>
      <c r="B1146" t="s">
        <v>10</v>
      </c>
      <c r="C1146" s="1">
        <v>43710</v>
      </c>
      <c r="D1146">
        <v>2019</v>
      </c>
      <c r="E1146">
        <v>9</v>
      </c>
      <c r="F1146">
        <v>13.592295650000001</v>
      </c>
      <c r="G1146" t="s">
        <v>9</v>
      </c>
    </row>
    <row r="1147" spans="1:7" x14ac:dyDescent="0.25">
      <c r="A1147" t="s">
        <v>7</v>
      </c>
      <c r="B1147" t="s">
        <v>10</v>
      </c>
      <c r="C1147" s="1">
        <v>43715</v>
      </c>
      <c r="D1147">
        <v>2019</v>
      </c>
      <c r="E1147">
        <v>9</v>
      </c>
      <c r="F1147">
        <v>6.6840376849999998</v>
      </c>
      <c r="G1147" t="s">
        <v>9</v>
      </c>
    </row>
    <row r="1148" spans="1:7" x14ac:dyDescent="0.25">
      <c r="A1148" t="s">
        <v>7</v>
      </c>
      <c r="B1148" t="s">
        <v>10</v>
      </c>
      <c r="C1148" s="1">
        <v>43723</v>
      </c>
      <c r="D1148">
        <v>2019</v>
      </c>
      <c r="E1148">
        <v>9</v>
      </c>
      <c r="F1148">
        <v>3.5604660510000001</v>
      </c>
      <c r="G1148" t="s">
        <v>9</v>
      </c>
    </row>
    <row r="1149" spans="1:7" x14ac:dyDescent="0.25">
      <c r="A1149" t="s">
        <v>7</v>
      </c>
      <c r="B1149" t="s">
        <v>10</v>
      </c>
      <c r="C1149" s="1">
        <v>43724</v>
      </c>
      <c r="D1149">
        <v>2019</v>
      </c>
      <c r="E1149">
        <v>9</v>
      </c>
      <c r="F1149">
        <v>0.817156196</v>
      </c>
      <c r="G1149" t="s">
        <v>9</v>
      </c>
    </row>
    <row r="1150" spans="1:7" x14ac:dyDescent="0.25">
      <c r="A1150" t="s">
        <v>7</v>
      </c>
      <c r="B1150" t="s">
        <v>10</v>
      </c>
      <c r="C1150" s="1">
        <v>43725</v>
      </c>
      <c r="D1150">
        <v>2019</v>
      </c>
      <c r="E1150">
        <v>9</v>
      </c>
      <c r="F1150">
        <v>4.696566582</v>
      </c>
      <c r="G1150" t="s">
        <v>9</v>
      </c>
    </row>
    <row r="1151" spans="1:7" x14ac:dyDescent="0.25">
      <c r="A1151" t="s">
        <v>7</v>
      </c>
      <c r="B1151" t="s">
        <v>10</v>
      </c>
      <c r="C1151" s="1">
        <v>43727</v>
      </c>
      <c r="D1151">
        <v>2019</v>
      </c>
      <c r="E1151">
        <v>9</v>
      </c>
      <c r="F1151">
        <v>7.3543138499999996</v>
      </c>
      <c r="G1151" t="s">
        <v>9</v>
      </c>
    </row>
    <row r="1152" spans="1:7" x14ac:dyDescent="0.25">
      <c r="A1152" t="s">
        <v>7</v>
      </c>
      <c r="B1152" t="s">
        <v>10</v>
      </c>
      <c r="C1152" s="1">
        <v>43729</v>
      </c>
      <c r="D1152">
        <v>2019</v>
      </c>
      <c r="E1152">
        <v>9</v>
      </c>
      <c r="F1152">
        <v>1.9072203640000001</v>
      </c>
      <c r="G1152" t="s">
        <v>9</v>
      </c>
    </row>
    <row r="1153" spans="1:7" x14ac:dyDescent="0.25">
      <c r="A1153" t="s">
        <v>7</v>
      </c>
      <c r="B1153" t="s">
        <v>10</v>
      </c>
      <c r="C1153" s="1">
        <v>43731</v>
      </c>
      <c r="D1153">
        <v>2019</v>
      </c>
      <c r="E1153">
        <v>9</v>
      </c>
      <c r="F1153">
        <v>2.635630608</v>
      </c>
      <c r="G1153" t="s">
        <v>9</v>
      </c>
    </row>
    <row r="1154" spans="1:7" x14ac:dyDescent="0.25">
      <c r="A1154" t="s">
        <v>7</v>
      </c>
      <c r="B1154" t="s">
        <v>10</v>
      </c>
      <c r="C1154" s="1">
        <v>43732</v>
      </c>
      <c r="D1154">
        <v>2019</v>
      </c>
      <c r="E1154">
        <v>9</v>
      </c>
      <c r="F1154">
        <v>15.477856640000001</v>
      </c>
      <c r="G1154" t="s">
        <v>9</v>
      </c>
    </row>
    <row r="1155" spans="1:7" x14ac:dyDescent="0.25">
      <c r="A1155" t="s">
        <v>7</v>
      </c>
      <c r="B1155" t="s">
        <v>10</v>
      </c>
      <c r="C1155" s="1">
        <v>43738</v>
      </c>
      <c r="D1155">
        <v>2019</v>
      </c>
      <c r="E1155">
        <v>9</v>
      </c>
      <c r="F1155">
        <v>3.989091873</v>
      </c>
      <c r="G1155" t="s">
        <v>9</v>
      </c>
    </row>
    <row r="1156" spans="1:7" x14ac:dyDescent="0.25">
      <c r="A1156" t="s">
        <v>7</v>
      </c>
      <c r="B1156" t="s">
        <v>10</v>
      </c>
      <c r="C1156" s="1">
        <v>43742</v>
      </c>
      <c r="D1156">
        <v>2019</v>
      </c>
      <c r="E1156">
        <v>10</v>
      </c>
      <c r="F1156">
        <v>0</v>
      </c>
      <c r="G1156" t="s">
        <v>9</v>
      </c>
    </row>
    <row r="1157" spans="1:7" x14ac:dyDescent="0.25">
      <c r="A1157" t="s">
        <v>7</v>
      </c>
      <c r="B1157" t="s">
        <v>10</v>
      </c>
      <c r="C1157" s="1">
        <v>43752</v>
      </c>
      <c r="D1157">
        <v>2019</v>
      </c>
      <c r="E1157">
        <v>10</v>
      </c>
      <c r="F1157">
        <v>13.32098103</v>
      </c>
      <c r="G1157" t="s">
        <v>9</v>
      </c>
    </row>
    <row r="1158" spans="1:7" x14ac:dyDescent="0.25">
      <c r="A1158" t="s">
        <v>7</v>
      </c>
      <c r="B1158" t="s">
        <v>10</v>
      </c>
      <c r="C1158" s="1">
        <v>43753</v>
      </c>
      <c r="D1158">
        <v>2019</v>
      </c>
      <c r="E1158">
        <v>10</v>
      </c>
      <c r="F1158">
        <v>0</v>
      </c>
      <c r="G1158" t="s">
        <v>9</v>
      </c>
    </row>
    <row r="1159" spans="1:7" x14ac:dyDescent="0.25">
      <c r="A1159" t="s">
        <v>7</v>
      </c>
      <c r="B1159" t="s">
        <v>10</v>
      </c>
      <c r="C1159" s="1">
        <v>43757</v>
      </c>
      <c r="D1159">
        <v>2019</v>
      </c>
      <c r="E1159">
        <v>10</v>
      </c>
      <c r="F1159">
        <v>3.2683007719999999</v>
      </c>
      <c r="G1159" t="s">
        <v>9</v>
      </c>
    </row>
    <row r="1160" spans="1:7" x14ac:dyDescent="0.25">
      <c r="A1160" t="s">
        <v>7</v>
      </c>
      <c r="B1160" t="s">
        <v>10</v>
      </c>
      <c r="C1160" s="1">
        <v>43758</v>
      </c>
      <c r="D1160">
        <v>2019</v>
      </c>
      <c r="E1160">
        <v>10</v>
      </c>
      <c r="F1160">
        <v>5.1393666270000002</v>
      </c>
      <c r="G1160" t="s">
        <v>9</v>
      </c>
    </row>
    <row r="1161" spans="1:7" x14ac:dyDescent="0.25">
      <c r="A1161" t="s">
        <v>7</v>
      </c>
      <c r="B1161" t="s">
        <v>10</v>
      </c>
      <c r="C1161" s="1">
        <v>43763</v>
      </c>
      <c r="D1161">
        <v>2019</v>
      </c>
      <c r="E1161">
        <v>10</v>
      </c>
      <c r="F1161">
        <v>1.488762379</v>
      </c>
      <c r="G1161" t="s">
        <v>9</v>
      </c>
    </row>
    <row r="1162" spans="1:7" x14ac:dyDescent="0.25">
      <c r="A1162" t="s">
        <v>7</v>
      </c>
      <c r="B1162" t="s">
        <v>12</v>
      </c>
      <c r="C1162" s="1">
        <v>43699</v>
      </c>
      <c r="D1162">
        <v>2019</v>
      </c>
      <c r="E1162">
        <v>8</v>
      </c>
      <c r="F1162">
        <v>11.208382609999999</v>
      </c>
      <c r="G1162" t="s">
        <v>9</v>
      </c>
    </row>
    <row r="1163" spans="1:7" x14ac:dyDescent="0.25">
      <c r="A1163" t="s">
        <v>7</v>
      </c>
      <c r="B1163" t="s">
        <v>12</v>
      </c>
      <c r="C1163" s="1">
        <v>43709</v>
      </c>
      <c r="D1163">
        <v>2019</v>
      </c>
      <c r="E1163">
        <v>9</v>
      </c>
      <c r="F1163">
        <v>17.433473589999998</v>
      </c>
      <c r="G1163" t="s">
        <v>9</v>
      </c>
    </row>
    <row r="1164" spans="1:7" x14ac:dyDescent="0.25">
      <c r="A1164" t="s">
        <v>7</v>
      </c>
      <c r="B1164" t="s">
        <v>12</v>
      </c>
      <c r="C1164" s="1">
        <v>43713</v>
      </c>
      <c r="D1164">
        <v>2019</v>
      </c>
      <c r="E1164">
        <v>9</v>
      </c>
      <c r="F1164">
        <v>56.357639310000003</v>
      </c>
      <c r="G1164" t="s">
        <v>9</v>
      </c>
    </row>
    <row r="1165" spans="1:7" x14ac:dyDescent="0.25">
      <c r="A1165" t="s">
        <v>7</v>
      </c>
      <c r="B1165" t="s">
        <v>12</v>
      </c>
      <c r="C1165" s="1">
        <v>43717</v>
      </c>
      <c r="D1165">
        <v>2019</v>
      </c>
      <c r="E1165">
        <v>9</v>
      </c>
      <c r="F1165">
        <v>16.93312263</v>
      </c>
      <c r="G1165" t="s">
        <v>9</v>
      </c>
    </row>
    <row r="1166" spans="1:7" x14ac:dyDescent="0.25">
      <c r="A1166" t="s">
        <v>7</v>
      </c>
      <c r="B1166" t="s">
        <v>12</v>
      </c>
      <c r="C1166" s="1">
        <v>43718</v>
      </c>
      <c r="D1166">
        <v>2019</v>
      </c>
      <c r="E1166">
        <v>9</v>
      </c>
      <c r="F1166">
        <v>29.56936455</v>
      </c>
      <c r="G1166" t="s">
        <v>9</v>
      </c>
    </row>
    <row r="1167" spans="1:7" x14ac:dyDescent="0.25">
      <c r="A1167" t="s">
        <v>7</v>
      </c>
      <c r="B1167" t="s">
        <v>12</v>
      </c>
      <c r="C1167" s="1">
        <v>43723</v>
      </c>
      <c r="D1167">
        <v>2019</v>
      </c>
      <c r="E1167">
        <v>9</v>
      </c>
      <c r="F1167">
        <v>4.7095308300000003</v>
      </c>
      <c r="G1167" t="s">
        <v>9</v>
      </c>
    </row>
    <row r="1168" spans="1:7" x14ac:dyDescent="0.25">
      <c r="A1168" t="s">
        <v>7</v>
      </c>
      <c r="B1168" t="s">
        <v>12</v>
      </c>
      <c r="C1168" s="1">
        <v>43725</v>
      </c>
      <c r="D1168">
        <v>2019</v>
      </c>
      <c r="E1168">
        <v>9</v>
      </c>
      <c r="F1168">
        <v>2.953982592</v>
      </c>
      <c r="G1168" t="s">
        <v>9</v>
      </c>
    </row>
    <row r="1169" spans="1:7" x14ac:dyDescent="0.25">
      <c r="A1169" t="s">
        <v>7</v>
      </c>
      <c r="B1169" t="s">
        <v>12</v>
      </c>
      <c r="C1169" s="1">
        <v>43730</v>
      </c>
      <c r="D1169">
        <v>2019</v>
      </c>
      <c r="E1169">
        <v>9</v>
      </c>
      <c r="F1169">
        <v>1.3501802679999999</v>
      </c>
      <c r="G1169" t="s">
        <v>9</v>
      </c>
    </row>
    <row r="1170" spans="1:7" x14ac:dyDescent="0.25">
      <c r="A1170" t="s">
        <v>7</v>
      </c>
      <c r="B1170" t="s">
        <v>12</v>
      </c>
      <c r="C1170" s="1">
        <v>43734</v>
      </c>
      <c r="D1170">
        <v>2019</v>
      </c>
      <c r="E1170">
        <v>9</v>
      </c>
      <c r="F1170">
        <v>11.12172413</v>
      </c>
      <c r="G1170" t="s">
        <v>9</v>
      </c>
    </row>
    <row r="1171" spans="1:7" x14ac:dyDescent="0.25">
      <c r="A1171" t="s">
        <v>7</v>
      </c>
      <c r="B1171" t="s">
        <v>12</v>
      </c>
      <c r="C1171" s="1">
        <v>43741</v>
      </c>
      <c r="D1171">
        <v>2019</v>
      </c>
      <c r="E1171">
        <v>10</v>
      </c>
      <c r="F1171">
        <v>0</v>
      </c>
      <c r="G1171" t="s">
        <v>9</v>
      </c>
    </row>
    <row r="1172" spans="1:7" x14ac:dyDescent="0.25">
      <c r="A1172" t="s">
        <v>7</v>
      </c>
      <c r="B1172" t="s">
        <v>12</v>
      </c>
      <c r="C1172" s="1">
        <v>43749</v>
      </c>
      <c r="D1172">
        <v>2019</v>
      </c>
      <c r="E1172">
        <v>10</v>
      </c>
      <c r="F1172">
        <v>0</v>
      </c>
      <c r="G1172" t="s">
        <v>9</v>
      </c>
    </row>
    <row r="1173" spans="1:7" x14ac:dyDescent="0.25">
      <c r="A1173" t="s">
        <v>7</v>
      </c>
      <c r="B1173" t="s">
        <v>12</v>
      </c>
      <c r="C1173" s="1">
        <v>43751</v>
      </c>
      <c r="D1173">
        <v>2019</v>
      </c>
      <c r="E1173">
        <v>10</v>
      </c>
      <c r="F1173">
        <v>2.675421</v>
      </c>
      <c r="G1173" t="s">
        <v>9</v>
      </c>
    </row>
    <row r="1174" spans="1:7" x14ac:dyDescent="0.25">
      <c r="A1174" t="s">
        <v>7</v>
      </c>
      <c r="B1174" t="s">
        <v>12</v>
      </c>
      <c r="C1174" s="1">
        <v>43752</v>
      </c>
      <c r="D1174">
        <v>2019</v>
      </c>
      <c r="E1174">
        <v>10</v>
      </c>
      <c r="F1174">
        <v>4.4304180149999999</v>
      </c>
      <c r="G1174" t="s">
        <v>9</v>
      </c>
    </row>
    <row r="1175" spans="1:7" x14ac:dyDescent="0.25">
      <c r="A1175" t="s">
        <v>7</v>
      </c>
      <c r="B1175" t="s">
        <v>12</v>
      </c>
      <c r="C1175" s="1">
        <v>43754</v>
      </c>
      <c r="D1175">
        <v>2019</v>
      </c>
      <c r="E1175">
        <v>10</v>
      </c>
      <c r="F1175">
        <v>27.016172409999999</v>
      </c>
      <c r="G1175" t="s">
        <v>9</v>
      </c>
    </row>
    <row r="1176" spans="1:7" x14ac:dyDescent="0.25">
      <c r="A1176" t="s">
        <v>7</v>
      </c>
      <c r="B1176" t="s">
        <v>12</v>
      </c>
      <c r="C1176" s="1">
        <v>43755</v>
      </c>
      <c r="D1176">
        <v>2019</v>
      </c>
      <c r="E1176">
        <v>10</v>
      </c>
      <c r="F1176">
        <v>29.65023613</v>
      </c>
      <c r="G1176" t="s">
        <v>9</v>
      </c>
    </row>
    <row r="1177" spans="1:7" x14ac:dyDescent="0.25">
      <c r="A1177" t="s">
        <v>7</v>
      </c>
      <c r="B1177" t="s">
        <v>12</v>
      </c>
      <c r="C1177" s="1">
        <v>43756</v>
      </c>
      <c r="D1177">
        <v>2019</v>
      </c>
      <c r="E1177">
        <v>10</v>
      </c>
      <c r="F1177">
        <v>33.523738860000002</v>
      </c>
      <c r="G1177" t="s">
        <v>9</v>
      </c>
    </row>
    <row r="1178" spans="1:7" x14ac:dyDescent="0.25">
      <c r="A1178" t="s">
        <v>7</v>
      </c>
      <c r="B1178" t="s">
        <v>12</v>
      </c>
      <c r="C1178" s="1">
        <v>43757</v>
      </c>
      <c r="D1178">
        <v>2019</v>
      </c>
      <c r="E1178">
        <v>10</v>
      </c>
      <c r="F1178">
        <v>25.618906020000001</v>
      </c>
      <c r="G1178" t="s">
        <v>9</v>
      </c>
    </row>
    <row r="1179" spans="1:7" x14ac:dyDescent="0.25">
      <c r="A1179" t="s">
        <v>7</v>
      </c>
      <c r="B1179" t="s">
        <v>12</v>
      </c>
      <c r="C1179" s="1">
        <v>43760</v>
      </c>
      <c r="D1179">
        <v>2019</v>
      </c>
      <c r="E1179">
        <v>10</v>
      </c>
      <c r="F1179">
        <v>50.523578639999997</v>
      </c>
      <c r="G1179" t="s">
        <v>9</v>
      </c>
    </row>
    <row r="1180" spans="1:7" x14ac:dyDescent="0.25">
      <c r="A1180" t="s">
        <v>7</v>
      </c>
      <c r="B1180" t="s">
        <v>12</v>
      </c>
      <c r="C1180" s="1">
        <v>43764</v>
      </c>
      <c r="D1180">
        <v>2019</v>
      </c>
      <c r="E1180">
        <v>10</v>
      </c>
      <c r="F1180">
        <v>78.629158020000006</v>
      </c>
      <c r="G1180" t="s">
        <v>9</v>
      </c>
    </row>
    <row r="1181" spans="1:7" x14ac:dyDescent="0.25">
      <c r="A1181" t="s">
        <v>7</v>
      </c>
      <c r="B1181" t="s">
        <v>12</v>
      </c>
      <c r="C1181" s="1">
        <v>43765</v>
      </c>
      <c r="D1181">
        <v>2019</v>
      </c>
      <c r="E1181">
        <v>10</v>
      </c>
      <c r="F1181">
        <v>28.191375730000001</v>
      </c>
      <c r="G1181" t="s">
        <v>9</v>
      </c>
    </row>
    <row r="1182" spans="1:7" x14ac:dyDescent="0.25">
      <c r="A1182" t="s">
        <v>7</v>
      </c>
      <c r="B1182" t="s">
        <v>12</v>
      </c>
      <c r="C1182" s="1">
        <v>43766</v>
      </c>
      <c r="D1182">
        <v>2019</v>
      </c>
      <c r="E1182">
        <v>10</v>
      </c>
      <c r="F1182">
        <v>0</v>
      </c>
      <c r="G1182" t="s">
        <v>9</v>
      </c>
    </row>
    <row r="1183" spans="1:7" x14ac:dyDescent="0.25">
      <c r="A1183" t="s">
        <v>7</v>
      </c>
      <c r="B1183" t="s">
        <v>12</v>
      </c>
      <c r="C1183" s="1">
        <v>43767</v>
      </c>
      <c r="D1183">
        <v>2019</v>
      </c>
      <c r="E1183">
        <v>10</v>
      </c>
      <c r="F1183">
        <v>3.1696343420000002</v>
      </c>
      <c r="G1183" t="s">
        <v>9</v>
      </c>
    </row>
    <row r="1184" spans="1:7" x14ac:dyDescent="0.25">
      <c r="A1184" t="s">
        <v>7</v>
      </c>
      <c r="B1184" t="s">
        <v>12</v>
      </c>
      <c r="C1184" s="1">
        <v>43772</v>
      </c>
      <c r="D1184">
        <v>2019</v>
      </c>
      <c r="E1184">
        <v>11</v>
      </c>
      <c r="F1184">
        <v>0</v>
      </c>
      <c r="G1184" t="s">
        <v>9</v>
      </c>
    </row>
    <row r="1185" spans="1:7" x14ac:dyDescent="0.25">
      <c r="A1185" t="s">
        <v>7</v>
      </c>
      <c r="B1185" t="s">
        <v>12</v>
      </c>
      <c r="C1185" s="1">
        <v>43776</v>
      </c>
      <c r="D1185">
        <v>2019</v>
      </c>
      <c r="E1185">
        <v>11</v>
      </c>
      <c r="F1185">
        <v>0</v>
      </c>
      <c r="G1185" t="s">
        <v>9</v>
      </c>
    </row>
    <row r="1186" spans="1:7" x14ac:dyDescent="0.25">
      <c r="A1186" t="s">
        <v>7</v>
      </c>
      <c r="B1186" t="s">
        <v>12</v>
      </c>
      <c r="C1186" s="1">
        <v>43779</v>
      </c>
      <c r="D1186">
        <v>2019</v>
      </c>
      <c r="E1186">
        <v>11</v>
      </c>
      <c r="F1186">
        <v>0</v>
      </c>
      <c r="G1186" t="s">
        <v>9</v>
      </c>
    </row>
    <row r="1187" spans="1:7" x14ac:dyDescent="0.25">
      <c r="A1187" t="s">
        <v>7</v>
      </c>
      <c r="B1187" t="s">
        <v>12</v>
      </c>
      <c r="C1187" s="1">
        <v>43781</v>
      </c>
      <c r="D1187">
        <v>2019</v>
      </c>
      <c r="E1187">
        <v>11</v>
      </c>
      <c r="F1187">
        <v>14.76097298</v>
      </c>
      <c r="G1187" t="s">
        <v>9</v>
      </c>
    </row>
    <row r="1188" spans="1:7" x14ac:dyDescent="0.25">
      <c r="A1188" t="s">
        <v>7</v>
      </c>
      <c r="B1188" t="s">
        <v>12</v>
      </c>
      <c r="C1188" s="1">
        <v>43790</v>
      </c>
      <c r="D1188">
        <v>2019</v>
      </c>
      <c r="E1188">
        <v>11</v>
      </c>
      <c r="F1188">
        <v>12.422202110000001</v>
      </c>
      <c r="G1188" t="s">
        <v>9</v>
      </c>
    </row>
    <row r="1189" spans="1:7" x14ac:dyDescent="0.25">
      <c r="A1189" t="s">
        <v>7</v>
      </c>
      <c r="B1189" t="s">
        <v>12</v>
      </c>
      <c r="C1189" s="1">
        <v>43794</v>
      </c>
      <c r="D1189">
        <v>2019</v>
      </c>
      <c r="E1189">
        <v>11</v>
      </c>
      <c r="F1189">
        <v>0</v>
      </c>
      <c r="G1189" t="s">
        <v>9</v>
      </c>
    </row>
    <row r="1190" spans="1:7" x14ac:dyDescent="0.25">
      <c r="A1190" t="s">
        <v>7</v>
      </c>
      <c r="B1190" t="s">
        <v>12</v>
      </c>
      <c r="C1190" s="1">
        <v>43795</v>
      </c>
      <c r="D1190">
        <v>2019</v>
      </c>
      <c r="E1190">
        <v>11</v>
      </c>
      <c r="F1190">
        <v>0</v>
      </c>
      <c r="G1190" t="s">
        <v>9</v>
      </c>
    </row>
    <row r="1191" spans="1:7" x14ac:dyDescent="0.25">
      <c r="A1191" t="s">
        <v>7</v>
      </c>
      <c r="B1191" t="s">
        <v>12</v>
      </c>
      <c r="C1191" s="1">
        <v>43797</v>
      </c>
      <c r="D1191">
        <v>2019</v>
      </c>
      <c r="E1191">
        <v>11</v>
      </c>
      <c r="F1191">
        <v>0</v>
      </c>
      <c r="G1191" t="s">
        <v>9</v>
      </c>
    </row>
    <row r="1192" spans="1:7" x14ac:dyDescent="0.25">
      <c r="A1192" t="s">
        <v>7</v>
      </c>
      <c r="B1192" t="s">
        <v>12</v>
      </c>
      <c r="C1192" s="1">
        <v>43804</v>
      </c>
      <c r="D1192">
        <v>2019</v>
      </c>
      <c r="E1192">
        <v>12</v>
      </c>
      <c r="F1192">
        <v>0</v>
      </c>
      <c r="G1192" t="s">
        <v>9</v>
      </c>
    </row>
    <row r="1193" spans="1:7" x14ac:dyDescent="0.25">
      <c r="A1193" t="s">
        <v>7</v>
      </c>
      <c r="B1193" t="s">
        <v>12</v>
      </c>
      <c r="C1193" s="1">
        <v>43809</v>
      </c>
      <c r="D1193">
        <v>2019</v>
      </c>
      <c r="E1193">
        <v>12</v>
      </c>
      <c r="F1193">
        <v>0</v>
      </c>
      <c r="G1193" t="s">
        <v>9</v>
      </c>
    </row>
    <row r="1194" spans="1:7" x14ac:dyDescent="0.25">
      <c r="A1194" t="s">
        <v>7</v>
      </c>
      <c r="B1194" t="s">
        <v>12</v>
      </c>
      <c r="C1194" s="1">
        <v>43813</v>
      </c>
      <c r="D1194">
        <v>2019</v>
      </c>
      <c r="E1194">
        <v>12</v>
      </c>
      <c r="F1194">
        <v>0</v>
      </c>
      <c r="G1194" t="s">
        <v>9</v>
      </c>
    </row>
    <row r="1195" spans="1:7" x14ac:dyDescent="0.25">
      <c r="A1195" t="s">
        <v>7</v>
      </c>
      <c r="B1195" t="s">
        <v>12</v>
      </c>
      <c r="C1195" s="1">
        <v>43820</v>
      </c>
      <c r="D1195">
        <v>2019</v>
      </c>
      <c r="E1195">
        <v>12</v>
      </c>
      <c r="F1195">
        <v>0</v>
      </c>
      <c r="G1195" t="s">
        <v>9</v>
      </c>
    </row>
    <row r="1196" spans="1:7" x14ac:dyDescent="0.25">
      <c r="A1196" t="s">
        <v>7</v>
      </c>
      <c r="B1196" t="s">
        <v>12</v>
      </c>
      <c r="C1196" s="1">
        <v>43823</v>
      </c>
      <c r="D1196">
        <v>2019</v>
      </c>
      <c r="E1196">
        <v>12</v>
      </c>
      <c r="F1196">
        <v>0</v>
      </c>
      <c r="G1196" t="s">
        <v>9</v>
      </c>
    </row>
    <row r="1197" spans="1:7" x14ac:dyDescent="0.25">
      <c r="A1197" t="s">
        <v>7</v>
      </c>
      <c r="B1197" t="s">
        <v>12</v>
      </c>
      <c r="C1197" s="1">
        <v>43829</v>
      </c>
      <c r="D1197">
        <v>2019</v>
      </c>
      <c r="E1197">
        <v>12</v>
      </c>
      <c r="F1197">
        <v>0</v>
      </c>
      <c r="G1197" t="s">
        <v>9</v>
      </c>
    </row>
    <row r="1198" spans="1:7" x14ac:dyDescent="0.25">
      <c r="A1198" t="s">
        <v>7</v>
      </c>
      <c r="B1198" t="s">
        <v>8</v>
      </c>
      <c r="C1198" s="1">
        <v>43473</v>
      </c>
      <c r="D1198">
        <v>2019</v>
      </c>
      <c r="E1198">
        <v>1</v>
      </c>
      <c r="F1198">
        <v>0</v>
      </c>
      <c r="G1198" t="s">
        <v>9</v>
      </c>
    </row>
    <row r="1199" spans="1:7" x14ac:dyDescent="0.25">
      <c r="A1199" t="s">
        <v>7</v>
      </c>
      <c r="B1199" t="s">
        <v>8</v>
      </c>
      <c r="C1199" s="1">
        <v>43483</v>
      </c>
      <c r="D1199">
        <v>2019</v>
      </c>
      <c r="E1199">
        <v>1</v>
      </c>
      <c r="F1199">
        <v>0</v>
      </c>
      <c r="G1199" t="s">
        <v>9</v>
      </c>
    </row>
    <row r="1200" spans="1:7" x14ac:dyDescent="0.25">
      <c r="A1200" t="s">
        <v>7</v>
      </c>
      <c r="B1200" t="s">
        <v>8</v>
      </c>
      <c r="C1200" s="1">
        <v>43484</v>
      </c>
      <c r="D1200">
        <v>2019</v>
      </c>
      <c r="E1200">
        <v>1</v>
      </c>
      <c r="F1200">
        <v>0</v>
      </c>
      <c r="G1200" t="s">
        <v>9</v>
      </c>
    </row>
    <row r="1201" spans="1:7" x14ac:dyDescent="0.25">
      <c r="A1201" t="s">
        <v>7</v>
      </c>
      <c r="B1201" t="s">
        <v>8</v>
      </c>
      <c r="C1201" s="1">
        <v>43486</v>
      </c>
      <c r="D1201">
        <v>2019</v>
      </c>
      <c r="E1201">
        <v>1</v>
      </c>
      <c r="F1201">
        <v>0</v>
      </c>
      <c r="G1201" t="s">
        <v>9</v>
      </c>
    </row>
    <row r="1202" spans="1:7" x14ac:dyDescent="0.25">
      <c r="A1202" t="s">
        <v>7</v>
      </c>
      <c r="B1202" t="s">
        <v>8</v>
      </c>
      <c r="C1202" s="1">
        <v>43487</v>
      </c>
      <c r="D1202">
        <v>2019</v>
      </c>
      <c r="E1202">
        <v>1</v>
      </c>
      <c r="F1202">
        <v>0</v>
      </c>
      <c r="G1202" t="s">
        <v>9</v>
      </c>
    </row>
    <row r="1203" spans="1:7" x14ac:dyDescent="0.25">
      <c r="A1203" t="s">
        <v>7</v>
      </c>
      <c r="B1203" t="s">
        <v>8</v>
      </c>
      <c r="C1203" s="1">
        <v>43493</v>
      </c>
      <c r="D1203">
        <v>2019</v>
      </c>
      <c r="E1203">
        <v>1</v>
      </c>
      <c r="F1203">
        <v>0</v>
      </c>
      <c r="G1203" t="s">
        <v>9</v>
      </c>
    </row>
    <row r="1204" spans="1:7" x14ac:dyDescent="0.25">
      <c r="A1204" t="s">
        <v>7</v>
      </c>
      <c r="B1204" t="s">
        <v>8</v>
      </c>
      <c r="C1204" s="1">
        <v>43504</v>
      </c>
      <c r="D1204">
        <v>2019</v>
      </c>
      <c r="E1204">
        <v>2</v>
      </c>
      <c r="F1204">
        <v>0</v>
      </c>
      <c r="G1204" t="s">
        <v>9</v>
      </c>
    </row>
    <row r="1205" spans="1:7" x14ac:dyDescent="0.25">
      <c r="A1205" t="s">
        <v>7</v>
      </c>
      <c r="B1205" t="s">
        <v>8</v>
      </c>
      <c r="C1205" s="1">
        <v>43507</v>
      </c>
      <c r="D1205">
        <v>2019</v>
      </c>
      <c r="E1205">
        <v>2</v>
      </c>
      <c r="F1205">
        <v>0</v>
      </c>
      <c r="G1205" t="s">
        <v>9</v>
      </c>
    </row>
    <row r="1206" spans="1:7" x14ac:dyDescent="0.25">
      <c r="A1206" t="s">
        <v>7</v>
      </c>
      <c r="B1206" t="s">
        <v>8</v>
      </c>
      <c r="C1206" s="1">
        <v>43509</v>
      </c>
      <c r="D1206">
        <v>2019</v>
      </c>
      <c r="E1206">
        <v>2</v>
      </c>
      <c r="F1206">
        <v>0</v>
      </c>
      <c r="G1206" t="s">
        <v>9</v>
      </c>
    </row>
    <row r="1207" spans="1:7" x14ac:dyDescent="0.25">
      <c r="A1207" t="s">
        <v>7</v>
      </c>
      <c r="B1207" t="s">
        <v>8</v>
      </c>
      <c r="C1207" s="1">
        <v>43517</v>
      </c>
      <c r="D1207">
        <v>2019</v>
      </c>
      <c r="E1207">
        <v>2</v>
      </c>
      <c r="F1207">
        <v>0</v>
      </c>
      <c r="G1207" t="s">
        <v>9</v>
      </c>
    </row>
    <row r="1208" spans="1:7" x14ac:dyDescent="0.25">
      <c r="A1208" t="s">
        <v>7</v>
      </c>
      <c r="B1208" t="s">
        <v>8</v>
      </c>
      <c r="C1208" s="1">
        <v>43518</v>
      </c>
      <c r="D1208">
        <v>2019</v>
      </c>
      <c r="E1208">
        <v>2</v>
      </c>
      <c r="F1208">
        <v>0</v>
      </c>
      <c r="G1208" t="s">
        <v>9</v>
      </c>
    </row>
    <row r="1209" spans="1:7" x14ac:dyDescent="0.25">
      <c r="A1209" t="s">
        <v>7</v>
      </c>
      <c r="B1209" t="s">
        <v>8</v>
      </c>
      <c r="C1209" s="1">
        <v>43523</v>
      </c>
      <c r="D1209">
        <v>2019</v>
      </c>
      <c r="E1209">
        <v>2</v>
      </c>
      <c r="F1209">
        <v>0</v>
      </c>
      <c r="G1209" t="s">
        <v>9</v>
      </c>
    </row>
    <row r="1210" spans="1:7" x14ac:dyDescent="0.25">
      <c r="A1210" t="s">
        <v>7</v>
      </c>
      <c r="B1210" t="s">
        <v>8</v>
      </c>
      <c r="C1210" s="1">
        <v>43531</v>
      </c>
      <c r="D1210">
        <v>2019</v>
      </c>
      <c r="E1210">
        <v>3</v>
      </c>
      <c r="F1210">
        <v>0</v>
      </c>
      <c r="G1210" t="s">
        <v>9</v>
      </c>
    </row>
    <row r="1211" spans="1:7" x14ac:dyDescent="0.25">
      <c r="A1211" t="s">
        <v>7</v>
      </c>
      <c r="B1211" t="s">
        <v>8</v>
      </c>
      <c r="C1211" s="1">
        <v>43547</v>
      </c>
      <c r="D1211">
        <v>2019</v>
      </c>
      <c r="E1211">
        <v>3</v>
      </c>
      <c r="F1211">
        <v>0</v>
      </c>
      <c r="G1211" t="s">
        <v>9</v>
      </c>
    </row>
    <row r="1212" spans="1:7" x14ac:dyDescent="0.25">
      <c r="A1212" t="s">
        <v>7</v>
      </c>
      <c r="B1212" t="s">
        <v>8</v>
      </c>
      <c r="C1212" s="1">
        <v>43549</v>
      </c>
      <c r="D1212">
        <v>2019</v>
      </c>
      <c r="E1212">
        <v>3</v>
      </c>
      <c r="F1212">
        <v>0</v>
      </c>
      <c r="G1212" t="s">
        <v>9</v>
      </c>
    </row>
    <row r="1213" spans="1:7" x14ac:dyDescent="0.25">
      <c r="A1213" t="s">
        <v>7</v>
      </c>
      <c r="B1213" t="s">
        <v>8</v>
      </c>
      <c r="C1213" s="1">
        <v>43558</v>
      </c>
      <c r="D1213">
        <v>2019</v>
      </c>
      <c r="E1213">
        <v>4</v>
      </c>
      <c r="F1213">
        <v>0</v>
      </c>
      <c r="G1213" t="s">
        <v>9</v>
      </c>
    </row>
    <row r="1214" spans="1:7" x14ac:dyDescent="0.25">
      <c r="A1214" t="s">
        <v>7</v>
      </c>
      <c r="B1214" t="s">
        <v>8</v>
      </c>
      <c r="C1214" s="1">
        <v>43561</v>
      </c>
      <c r="D1214">
        <v>2019</v>
      </c>
      <c r="E1214">
        <v>4</v>
      </c>
      <c r="F1214">
        <v>0</v>
      </c>
      <c r="G1214" t="s">
        <v>9</v>
      </c>
    </row>
    <row r="1215" spans="1:7" x14ac:dyDescent="0.25">
      <c r="A1215" t="s">
        <v>7</v>
      </c>
      <c r="B1215" t="s">
        <v>8</v>
      </c>
      <c r="C1215" s="1">
        <v>43563</v>
      </c>
      <c r="D1215">
        <v>2019</v>
      </c>
      <c r="E1215">
        <v>4</v>
      </c>
      <c r="F1215">
        <v>0</v>
      </c>
      <c r="G1215" t="s">
        <v>9</v>
      </c>
    </row>
    <row r="1216" spans="1:7" x14ac:dyDescent="0.25">
      <c r="A1216" t="s">
        <v>7</v>
      </c>
      <c r="B1216" t="s">
        <v>8</v>
      </c>
      <c r="C1216" s="1">
        <v>43566</v>
      </c>
      <c r="D1216">
        <v>2019</v>
      </c>
      <c r="E1216">
        <v>4</v>
      </c>
      <c r="F1216">
        <v>0</v>
      </c>
      <c r="G1216" t="s">
        <v>9</v>
      </c>
    </row>
    <row r="1217" spans="1:7" x14ac:dyDescent="0.25">
      <c r="A1217" t="s">
        <v>7</v>
      </c>
      <c r="B1217" t="s">
        <v>8</v>
      </c>
      <c r="C1217" s="1">
        <v>43589</v>
      </c>
      <c r="D1217">
        <v>2019</v>
      </c>
      <c r="E1217">
        <v>5</v>
      </c>
      <c r="F1217">
        <v>0</v>
      </c>
      <c r="G1217" t="s">
        <v>9</v>
      </c>
    </row>
    <row r="1218" spans="1:7" x14ac:dyDescent="0.25">
      <c r="A1218" t="s">
        <v>7</v>
      </c>
      <c r="B1218" t="s">
        <v>8</v>
      </c>
      <c r="C1218" s="1">
        <v>43590</v>
      </c>
      <c r="D1218">
        <v>2019</v>
      </c>
      <c r="E1218">
        <v>5</v>
      </c>
      <c r="F1218">
        <v>0</v>
      </c>
      <c r="G1218" t="s">
        <v>9</v>
      </c>
    </row>
    <row r="1219" spans="1:7" x14ac:dyDescent="0.25">
      <c r="A1219" t="s">
        <v>7</v>
      </c>
      <c r="B1219" t="s">
        <v>8</v>
      </c>
      <c r="C1219" s="1">
        <v>43596</v>
      </c>
      <c r="D1219">
        <v>2019</v>
      </c>
      <c r="E1219">
        <v>5</v>
      </c>
      <c r="F1219">
        <v>0</v>
      </c>
      <c r="G1219" t="s">
        <v>9</v>
      </c>
    </row>
    <row r="1220" spans="1:7" x14ac:dyDescent="0.25">
      <c r="A1220" t="s">
        <v>7</v>
      </c>
      <c r="B1220" t="s">
        <v>8</v>
      </c>
      <c r="C1220" s="1">
        <v>43597</v>
      </c>
      <c r="D1220">
        <v>2019</v>
      </c>
      <c r="E1220">
        <v>5</v>
      </c>
      <c r="F1220">
        <v>0</v>
      </c>
      <c r="G1220" t="s">
        <v>9</v>
      </c>
    </row>
    <row r="1221" spans="1:7" x14ac:dyDescent="0.25">
      <c r="A1221" t="s">
        <v>7</v>
      </c>
      <c r="B1221" t="s">
        <v>8</v>
      </c>
      <c r="C1221" s="1">
        <v>43611</v>
      </c>
      <c r="D1221">
        <v>2019</v>
      </c>
      <c r="E1221">
        <v>5</v>
      </c>
      <c r="F1221">
        <v>0</v>
      </c>
      <c r="G1221" t="s">
        <v>9</v>
      </c>
    </row>
    <row r="1222" spans="1:7" x14ac:dyDescent="0.25">
      <c r="A1222" t="s">
        <v>7</v>
      </c>
      <c r="B1222" t="s">
        <v>8</v>
      </c>
      <c r="C1222" s="1">
        <v>43614</v>
      </c>
      <c r="D1222">
        <v>2019</v>
      </c>
      <c r="E1222">
        <v>5</v>
      </c>
      <c r="F1222">
        <v>0</v>
      </c>
      <c r="G1222" t="s">
        <v>9</v>
      </c>
    </row>
    <row r="1223" spans="1:7" x14ac:dyDescent="0.25">
      <c r="A1223" t="s">
        <v>7</v>
      </c>
      <c r="B1223" t="s">
        <v>8</v>
      </c>
      <c r="C1223" s="1">
        <v>43622</v>
      </c>
      <c r="D1223">
        <v>2019</v>
      </c>
      <c r="E1223">
        <v>6</v>
      </c>
      <c r="F1223">
        <v>0</v>
      </c>
      <c r="G1223" t="s">
        <v>9</v>
      </c>
    </row>
    <row r="1224" spans="1:7" x14ac:dyDescent="0.25">
      <c r="A1224" t="s">
        <v>7</v>
      </c>
      <c r="B1224" t="s">
        <v>8</v>
      </c>
      <c r="C1224" s="1">
        <v>43623</v>
      </c>
      <c r="D1224">
        <v>2019</v>
      </c>
      <c r="E1224">
        <v>6</v>
      </c>
      <c r="F1224">
        <v>0</v>
      </c>
      <c r="G1224" t="s">
        <v>9</v>
      </c>
    </row>
    <row r="1225" spans="1:7" x14ac:dyDescent="0.25">
      <c r="A1225" t="s">
        <v>7</v>
      </c>
      <c r="B1225" t="s">
        <v>8</v>
      </c>
      <c r="C1225" s="1">
        <v>43631</v>
      </c>
      <c r="D1225">
        <v>2019</v>
      </c>
      <c r="E1225">
        <v>6</v>
      </c>
      <c r="F1225">
        <v>0</v>
      </c>
      <c r="G1225" t="s">
        <v>9</v>
      </c>
    </row>
    <row r="1226" spans="1:7" x14ac:dyDescent="0.25">
      <c r="A1226" t="s">
        <v>7</v>
      </c>
      <c r="B1226" t="s">
        <v>8</v>
      </c>
      <c r="C1226" s="1">
        <v>43632</v>
      </c>
      <c r="D1226">
        <v>2019</v>
      </c>
      <c r="E1226">
        <v>6</v>
      </c>
      <c r="F1226">
        <v>0</v>
      </c>
      <c r="G1226" t="s">
        <v>9</v>
      </c>
    </row>
    <row r="1227" spans="1:7" x14ac:dyDescent="0.25">
      <c r="A1227" t="s">
        <v>7</v>
      </c>
      <c r="B1227" t="s">
        <v>8</v>
      </c>
      <c r="C1227" s="1">
        <v>43637</v>
      </c>
      <c r="D1227">
        <v>2019</v>
      </c>
      <c r="E1227">
        <v>6</v>
      </c>
      <c r="F1227">
        <v>0</v>
      </c>
      <c r="G1227" t="s">
        <v>9</v>
      </c>
    </row>
    <row r="1228" spans="1:7" x14ac:dyDescent="0.25">
      <c r="A1228" t="s">
        <v>7</v>
      </c>
      <c r="B1228" t="s">
        <v>8</v>
      </c>
      <c r="C1228" s="1">
        <v>43640</v>
      </c>
      <c r="D1228">
        <v>2019</v>
      </c>
      <c r="E1228">
        <v>6</v>
      </c>
      <c r="F1228">
        <v>6.9263262230000002</v>
      </c>
      <c r="G1228" t="s">
        <v>9</v>
      </c>
    </row>
    <row r="1229" spans="1:7" x14ac:dyDescent="0.25">
      <c r="A1229" t="s">
        <v>7</v>
      </c>
      <c r="B1229" t="s">
        <v>8</v>
      </c>
      <c r="C1229" s="1">
        <v>43646</v>
      </c>
      <c r="D1229">
        <v>2019</v>
      </c>
      <c r="E1229">
        <v>6</v>
      </c>
      <c r="F1229">
        <v>0</v>
      </c>
      <c r="G1229" t="s">
        <v>9</v>
      </c>
    </row>
    <row r="1230" spans="1:7" x14ac:dyDescent="0.25">
      <c r="A1230" t="s">
        <v>7</v>
      </c>
      <c r="B1230" t="s">
        <v>8</v>
      </c>
      <c r="C1230" s="1">
        <v>43652</v>
      </c>
      <c r="D1230">
        <v>2019</v>
      </c>
      <c r="E1230">
        <v>7</v>
      </c>
      <c r="F1230">
        <v>0.23650154800000001</v>
      </c>
      <c r="G1230" t="s">
        <v>9</v>
      </c>
    </row>
    <row r="1231" spans="1:7" x14ac:dyDescent="0.25">
      <c r="A1231" t="s">
        <v>7</v>
      </c>
      <c r="B1231" t="s">
        <v>8</v>
      </c>
      <c r="C1231" s="1">
        <v>43656</v>
      </c>
      <c r="D1231">
        <v>2019</v>
      </c>
      <c r="E1231">
        <v>7</v>
      </c>
      <c r="F1231">
        <v>12.776421300000001</v>
      </c>
      <c r="G1231" t="s">
        <v>9</v>
      </c>
    </row>
    <row r="1232" spans="1:7" x14ac:dyDescent="0.25">
      <c r="A1232" t="s">
        <v>7</v>
      </c>
      <c r="B1232" t="s">
        <v>8</v>
      </c>
      <c r="C1232" s="1">
        <v>43660</v>
      </c>
      <c r="D1232">
        <v>2019</v>
      </c>
      <c r="E1232">
        <v>7</v>
      </c>
      <c r="F1232">
        <v>0.114678355</v>
      </c>
      <c r="G1232" t="s">
        <v>9</v>
      </c>
    </row>
    <row r="1233" spans="1:7" x14ac:dyDescent="0.25">
      <c r="A1233" t="s">
        <v>7</v>
      </c>
      <c r="B1233" t="s">
        <v>8</v>
      </c>
      <c r="C1233" s="1">
        <v>43666</v>
      </c>
      <c r="D1233">
        <v>2019</v>
      </c>
      <c r="E1233">
        <v>7</v>
      </c>
      <c r="F1233">
        <v>0.38435509200000001</v>
      </c>
      <c r="G1233" t="s">
        <v>9</v>
      </c>
    </row>
    <row r="1234" spans="1:7" x14ac:dyDescent="0.25">
      <c r="A1234" t="s">
        <v>7</v>
      </c>
      <c r="B1234" t="s">
        <v>8</v>
      </c>
      <c r="C1234" s="1">
        <v>43667</v>
      </c>
      <c r="D1234">
        <v>2019</v>
      </c>
      <c r="E1234">
        <v>7</v>
      </c>
      <c r="F1234">
        <v>0.97051298399999997</v>
      </c>
      <c r="G1234" t="s">
        <v>9</v>
      </c>
    </row>
    <row r="1235" spans="1:7" x14ac:dyDescent="0.25">
      <c r="A1235" t="s">
        <v>7</v>
      </c>
      <c r="B1235" t="s">
        <v>8</v>
      </c>
      <c r="C1235" s="1">
        <v>43668</v>
      </c>
      <c r="D1235">
        <v>2019</v>
      </c>
      <c r="E1235">
        <v>7</v>
      </c>
      <c r="F1235">
        <v>6.3742354000000001E-2</v>
      </c>
      <c r="G1235" t="s">
        <v>9</v>
      </c>
    </row>
    <row r="1236" spans="1:7" x14ac:dyDescent="0.25">
      <c r="A1236" t="s">
        <v>7</v>
      </c>
      <c r="B1236" t="s">
        <v>8</v>
      </c>
      <c r="C1236" s="1">
        <v>43676</v>
      </c>
      <c r="D1236">
        <v>2019</v>
      </c>
      <c r="E1236">
        <v>7</v>
      </c>
      <c r="F1236">
        <v>9.7601498529999997</v>
      </c>
      <c r="G1236" t="s">
        <v>9</v>
      </c>
    </row>
    <row r="1237" spans="1:7" x14ac:dyDescent="0.25">
      <c r="A1237" t="s">
        <v>7</v>
      </c>
      <c r="B1237" t="s">
        <v>8</v>
      </c>
      <c r="C1237" s="1">
        <v>43677</v>
      </c>
      <c r="D1237">
        <v>2019</v>
      </c>
      <c r="E1237">
        <v>7</v>
      </c>
      <c r="F1237">
        <v>0</v>
      </c>
      <c r="G1237" t="s">
        <v>9</v>
      </c>
    </row>
    <row r="1238" spans="1:7" x14ac:dyDescent="0.25">
      <c r="A1238" t="s">
        <v>7</v>
      </c>
      <c r="B1238" t="s">
        <v>8</v>
      </c>
      <c r="C1238" s="1">
        <v>43691</v>
      </c>
      <c r="D1238">
        <v>2019</v>
      </c>
      <c r="E1238">
        <v>8</v>
      </c>
      <c r="F1238">
        <v>2.4197530729999999</v>
      </c>
      <c r="G1238" t="s">
        <v>9</v>
      </c>
    </row>
    <row r="1239" spans="1:7" x14ac:dyDescent="0.25">
      <c r="A1239" t="s">
        <v>7</v>
      </c>
      <c r="B1239" t="s">
        <v>8</v>
      </c>
      <c r="C1239" s="1">
        <v>43697</v>
      </c>
      <c r="D1239">
        <v>2019</v>
      </c>
      <c r="E1239">
        <v>8</v>
      </c>
      <c r="F1239">
        <v>2.2218240470000001</v>
      </c>
      <c r="G1239" t="s">
        <v>9</v>
      </c>
    </row>
    <row r="1240" spans="1:7" x14ac:dyDescent="0.25">
      <c r="A1240" t="s">
        <v>7</v>
      </c>
      <c r="B1240" t="s">
        <v>8</v>
      </c>
      <c r="C1240" s="1">
        <v>43700</v>
      </c>
      <c r="D1240">
        <v>2019</v>
      </c>
      <c r="E1240">
        <v>8</v>
      </c>
      <c r="F1240">
        <v>6.7806810000000002E-3</v>
      </c>
      <c r="G1240" t="s">
        <v>9</v>
      </c>
    </row>
    <row r="1241" spans="1:7" x14ac:dyDescent="0.25">
      <c r="A1241" t="s">
        <v>7</v>
      </c>
      <c r="B1241" t="s">
        <v>8</v>
      </c>
      <c r="C1241" s="1">
        <v>43702</v>
      </c>
      <c r="D1241">
        <v>2019</v>
      </c>
      <c r="E1241">
        <v>8</v>
      </c>
      <c r="F1241">
        <v>0</v>
      </c>
      <c r="G1241" t="s">
        <v>9</v>
      </c>
    </row>
    <row r="1242" spans="1:7" x14ac:dyDescent="0.25">
      <c r="A1242" t="s">
        <v>7</v>
      </c>
      <c r="B1242" t="s">
        <v>8</v>
      </c>
      <c r="C1242" s="1">
        <v>43723</v>
      </c>
      <c r="D1242">
        <v>2019</v>
      </c>
      <c r="E1242">
        <v>9</v>
      </c>
      <c r="F1242">
        <v>32.359858719999998</v>
      </c>
      <c r="G1242" t="s">
        <v>9</v>
      </c>
    </row>
    <row r="1243" spans="1:7" x14ac:dyDescent="0.25">
      <c r="A1243" t="s">
        <v>7</v>
      </c>
      <c r="B1243" t="s">
        <v>8</v>
      </c>
      <c r="C1243" s="1">
        <v>43732</v>
      </c>
      <c r="D1243">
        <v>2019</v>
      </c>
      <c r="E1243">
        <v>9</v>
      </c>
      <c r="F1243">
        <v>0.33766484099999999</v>
      </c>
      <c r="G1243" t="s">
        <v>9</v>
      </c>
    </row>
    <row r="1244" spans="1:7" x14ac:dyDescent="0.25">
      <c r="A1244" t="s">
        <v>7</v>
      </c>
      <c r="B1244" t="s">
        <v>8</v>
      </c>
      <c r="C1244" s="1">
        <v>43745</v>
      </c>
      <c r="D1244">
        <v>2019</v>
      </c>
      <c r="E1244">
        <v>10</v>
      </c>
      <c r="F1244">
        <v>0</v>
      </c>
      <c r="G1244" t="s">
        <v>9</v>
      </c>
    </row>
    <row r="1245" spans="1:7" x14ac:dyDescent="0.25">
      <c r="A1245" t="s">
        <v>7</v>
      </c>
      <c r="B1245" t="s">
        <v>8</v>
      </c>
      <c r="C1245" s="1">
        <v>43758</v>
      </c>
      <c r="D1245">
        <v>2019</v>
      </c>
      <c r="E1245">
        <v>10</v>
      </c>
      <c r="F1245">
        <v>8.8206512220000004</v>
      </c>
      <c r="G1245" t="s">
        <v>9</v>
      </c>
    </row>
    <row r="1246" spans="1:7" x14ac:dyDescent="0.25">
      <c r="A1246" t="s">
        <v>7</v>
      </c>
      <c r="B1246" t="s">
        <v>8</v>
      </c>
      <c r="C1246" s="1">
        <v>43759</v>
      </c>
      <c r="D1246">
        <v>2019</v>
      </c>
      <c r="E1246">
        <v>10</v>
      </c>
      <c r="F1246">
        <v>14.25888003</v>
      </c>
      <c r="G1246" t="s">
        <v>9</v>
      </c>
    </row>
    <row r="1247" spans="1:7" x14ac:dyDescent="0.25">
      <c r="A1247" t="s">
        <v>7</v>
      </c>
      <c r="B1247" t="s">
        <v>8</v>
      </c>
      <c r="C1247" s="1">
        <v>43767</v>
      </c>
      <c r="D1247">
        <v>2019</v>
      </c>
      <c r="E1247">
        <v>10</v>
      </c>
      <c r="F1247">
        <v>23.07906165</v>
      </c>
      <c r="G1247" t="s">
        <v>9</v>
      </c>
    </row>
    <row r="1248" spans="1:7" x14ac:dyDescent="0.25">
      <c r="A1248" t="s">
        <v>7</v>
      </c>
      <c r="B1248" t="s">
        <v>8</v>
      </c>
      <c r="C1248" s="1">
        <v>43770</v>
      </c>
      <c r="D1248">
        <v>2019</v>
      </c>
      <c r="E1248">
        <v>11</v>
      </c>
      <c r="F1248">
        <v>4.0154988469999999</v>
      </c>
      <c r="G1248" t="s">
        <v>9</v>
      </c>
    </row>
    <row r="1249" spans="1:7" x14ac:dyDescent="0.25">
      <c r="A1249" t="s">
        <v>7</v>
      </c>
      <c r="B1249" t="s">
        <v>8</v>
      </c>
      <c r="C1249" s="1">
        <v>43775</v>
      </c>
      <c r="D1249">
        <v>2019</v>
      </c>
      <c r="E1249">
        <v>11</v>
      </c>
      <c r="F1249">
        <v>0</v>
      </c>
      <c r="G1249" t="s">
        <v>9</v>
      </c>
    </row>
    <row r="1250" spans="1:7" x14ac:dyDescent="0.25">
      <c r="A1250" t="s">
        <v>7</v>
      </c>
      <c r="B1250" t="s">
        <v>8</v>
      </c>
      <c r="C1250" s="1">
        <v>43778</v>
      </c>
      <c r="D1250">
        <v>2019</v>
      </c>
      <c r="E1250">
        <v>11</v>
      </c>
      <c r="F1250">
        <v>0</v>
      </c>
      <c r="G1250" t="s">
        <v>9</v>
      </c>
    </row>
    <row r="1251" spans="1:7" x14ac:dyDescent="0.25">
      <c r="A1251" t="s">
        <v>7</v>
      </c>
      <c r="B1251" t="s">
        <v>8</v>
      </c>
      <c r="C1251" s="1">
        <v>43779</v>
      </c>
      <c r="D1251">
        <v>2019</v>
      </c>
      <c r="E1251">
        <v>11</v>
      </c>
      <c r="F1251">
        <v>1.69517E-3</v>
      </c>
      <c r="G1251" t="s">
        <v>9</v>
      </c>
    </row>
    <row r="1252" spans="1:7" x14ac:dyDescent="0.25">
      <c r="A1252" t="s">
        <v>7</v>
      </c>
      <c r="B1252" t="s">
        <v>8</v>
      </c>
      <c r="C1252" s="1">
        <v>43780</v>
      </c>
      <c r="D1252">
        <v>2019</v>
      </c>
      <c r="E1252">
        <v>11</v>
      </c>
      <c r="F1252">
        <v>0.55457884300000004</v>
      </c>
      <c r="G1252" t="s">
        <v>9</v>
      </c>
    </row>
    <row r="1253" spans="1:7" x14ac:dyDescent="0.25">
      <c r="A1253" t="s">
        <v>7</v>
      </c>
      <c r="B1253" t="s">
        <v>8</v>
      </c>
      <c r="C1253" s="1">
        <v>43784</v>
      </c>
      <c r="D1253">
        <v>2019</v>
      </c>
      <c r="E1253">
        <v>11</v>
      </c>
      <c r="F1253">
        <v>9.6500765489999996</v>
      </c>
      <c r="G1253" t="s">
        <v>9</v>
      </c>
    </row>
    <row r="1254" spans="1:7" x14ac:dyDescent="0.25">
      <c r="A1254" t="s">
        <v>7</v>
      </c>
      <c r="B1254" t="s">
        <v>8</v>
      </c>
      <c r="C1254" s="1">
        <v>43793</v>
      </c>
      <c r="D1254">
        <v>2019</v>
      </c>
      <c r="E1254">
        <v>11</v>
      </c>
      <c r="F1254">
        <v>0</v>
      </c>
      <c r="G1254" t="s">
        <v>9</v>
      </c>
    </row>
    <row r="1255" spans="1:7" x14ac:dyDescent="0.25">
      <c r="A1255" t="s">
        <v>7</v>
      </c>
      <c r="B1255" t="s">
        <v>8</v>
      </c>
      <c r="C1255" s="1">
        <v>43794</v>
      </c>
      <c r="D1255">
        <v>2019</v>
      </c>
      <c r="E1255">
        <v>11</v>
      </c>
      <c r="F1255">
        <v>0.53913256700000001</v>
      </c>
      <c r="G1255" t="s">
        <v>9</v>
      </c>
    </row>
    <row r="1256" spans="1:7" x14ac:dyDescent="0.25">
      <c r="A1256" t="s">
        <v>7</v>
      </c>
      <c r="B1256" t="s">
        <v>8</v>
      </c>
      <c r="C1256" s="1">
        <v>43795</v>
      </c>
      <c r="D1256">
        <v>2019</v>
      </c>
      <c r="E1256">
        <v>11</v>
      </c>
      <c r="F1256">
        <v>0</v>
      </c>
      <c r="G1256" t="s">
        <v>9</v>
      </c>
    </row>
    <row r="1257" spans="1:7" x14ac:dyDescent="0.25">
      <c r="A1257" t="s">
        <v>7</v>
      </c>
      <c r="B1257" t="s">
        <v>8</v>
      </c>
      <c r="C1257" s="1">
        <v>43801</v>
      </c>
      <c r="D1257">
        <v>2019</v>
      </c>
      <c r="E1257">
        <v>12</v>
      </c>
      <c r="F1257">
        <v>30.766650129999999</v>
      </c>
      <c r="G1257" t="s">
        <v>9</v>
      </c>
    </row>
    <row r="1258" spans="1:7" x14ac:dyDescent="0.25">
      <c r="A1258" t="s">
        <v>7</v>
      </c>
      <c r="B1258" t="s">
        <v>8</v>
      </c>
      <c r="C1258" s="1">
        <v>43803</v>
      </c>
      <c r="D1258">
        <v>2019</v>
      </c>
      <c r="E1258">
        <v>12</v>
      </c>
      <c r="F1258">
        <v>0.79374861600000002</v>
      </c>
      <c r="G1258" t="s">
        <v>9</v>
      </c>
    </row>
    <row r="1259" spans="1:7" x14ac:dyDescent="0.25">
      <c r="A1259" t="s">
        <v>7</v>
      </c>
      <c r="B1259" t="s">
        <v>8</v>
      </c>
      <c r="C1259" s="1">
        <v>43807</v>
      </c>
      <c r="D1259">
        <v>2019</v>
      </c>
      <c r="E1259">
        <v>12</v>
      </c>
      <c r="F1259">
        <v>0.71738900800000005</v>
      </c>
      <c r="G1259" t="s">
        <v>9</v>
      </c>
    </row>
    <row r="1260" spans="1:7" x14ac:dyDescent="0.25">
      <c r="A1260" t="s">
        <v>7</v>
      </c>
      <c r="B1260" t="s">
        <v>8</v>
      </c>
      <c r="C1260" s="1">
        <v>43813</v>
      </c>
      <c r="D1260">
        <v>2019</v>
      </c>
      <c r="E1260">
        <v>12</v>
      </c>
      <c r="F1260">
        <v>30.591328860000001</v>
      </c>
      <c r="G1260" t="s">
        <v>9</v>
      </c>
    </row>
    <row r="1261" spans="1:7" x14ac:dyDescent="0.25">
      <c r="A1261" t="s">
        <v>7</v>
      </c>
      <c r="B1261" t="s">
        <v>8</v>
      </c>
      <c r="C1261" s="1">
        <v>43818</v>
      </c>
      <c r="D1261">
        <v>2019</v>
      </c>
      <c r="E1261">
        <v>12</v>
      </c>
      <c r="F1261">
        <v>0.461226107</v>
      </c>
      <c r="G1261" t="s">
        <v>9</v>
      </c>
    </row>
    <row r="1262" spans="1:7" x14ac:dyDescent="0.25">
      <c r="A1262" t="s">
        <v>7</v>
      </c>
      <c r="B1262" t="s">
        <v>8</v>
      </c>
      <c r="C1262" s="1">
        <v>43821</v>
      </c>
      <c r="D1262">
        <v>2019</v>
      </c>
      <c r="E1262">
        <v>12</v>
      </c>
      <c r="F1262">
        <v>0</v>
      </c>
      <c r="G1262" t="s">
        <v>9</v>
      </c>
    </row>
    <row r="1263" spans="1:7" x14ac:dyDescent="0.25">
      <c r="A1263" t="s">
        <v>7</v>
      </c>
      <c r="B1263" t="s">
        <v>8</v>
      </c>
      <c r="C1263" s="1">
        <v>43828</v>
      </c>
      <c r="D1263">
        <v>2019</v>
      </c>
      <c r="E1263">
        <v>12</v>
      </c>
      <c r="F1263">
        <v>0</v>
      </c>
      <c r="G1263" t="s">
        <v>9</v>
      </c>
    </row>
    <row r="1264" spans="1:7" x14ac:dyDescent="0.25">
      <c r="A1264" t="s">
        <v>7</v>
      </c>
      <c r="B1264" t="s">
        <v>8</v>
      </c>
      <c r="C1264" s="1">
        <v>43734</v>
      </c>
      <c r="D1264">
        <v>2019</v>
      </c>
      <c r="E1264">
        <v>9</v>
      </c>
      <c r="F1264">
        <v>5.4950862330000003</v>
      </c>
      <c r="G1264" t="s">
        <v>9</v>
      </c>
    </row>
    <row r="1265" spans="1:7" x14ac:dyDescent="0.25">
      <c r="A1265" t="s">
        <v>7</v>
      </c>
      <c r="B1265" t="s">
        <v>10</v>
      </c>
      <c r="C1265" s="1">
        <v>43474</v>
      </c>
      <c r="D1265">
        <v>2019</v>
      </c>
      <c r="E1265">
        <v>1</v>
      </c>
      <c r="F1265">
        <v>0</v>
      </c>
      <c r="G1265" t="s">
        <v>9</v>
      </c>
    </row>
    <row r="1266" spans="1:7" x14ac:dyDescent="0.25">
      <c r="A1266" t="s">
        <v>7</v>
      </c>
      <c r="B1266" t="s">
        <v>10</v>
      </c>
      <c r="C1266" s="1">
        <v>43476</v>
      </c>
      <c r="D1266">
        <v>2019</v>
      </c>
      <c r="E1266">
        <v>1</v>
      </c>
      <c r="F1266">
        <v>0</v>
      </c>
      <c r="G1266" t="s">
        <v>9</v>
      </c>
    </row>
    <row r="1267" spans="1:7" x14ac:dyDescent="0.25">
      <c r="A1267" t="s">
        <v>7</v>
      </c>
      <c r="B1267" t="s">
        <v>10</v>
      </c>
      <c r="C1267" s="1">
        <v>43477</v>
      </c>
      <c r="D1267">
        <v>2019</v>
      </c>
      <c r="E1267">
        <v>1</v>
      </c>
      <c r="F1267">
        <v>0</v>
      </c>
      <c r="G1267" t="s">
        <v>9</v>
      </c>
    </row>
    <row r="1268" spans="1:7" x14ac:dyDescent="0.25">
      <c r="A1268" t="s">
        <v>7</v>
      </c>
      <c r="B1268" t="s">
        <v>10</v>
      </c>
      <c r="C1268" s="1">
        <v>43480</v>
      </c>
      <c r="D1268">
        <v>2019</v>
      </c>
      <c r="E1268">
        <v>1</v>
      </c>
      <c r="F1268">
        <v>0</v>
      </c>
      <c r="G1268" t="s">
        <v>9</v>
      </c>
    </row>
    <row r="1269" spans="1:7" x14ac:dyDescent="0.25">
      <c r="A1269" t="s">
        <v>7</v>
      </c>
      <c r="B1269" t="s">
        <v>10</v>
      </c>
      <c r="C1269" s="1">
        <v>43481</v>
      </c>
      <c r="D1269">
        <v>2019</v>
      </c>
      <c r="E1269">
        <v>1</v>
      </c>
      <c r="F1269">
        <v>0</v>
      </c>
      <c r="G1269" t="s">
        <v>9</v>
      </c>
    </row>
    <row r="1270" spans="1:7" x14ac:dyDescent="0.25">
      <c r="A1270" t="s">
        <v>7</v>
      </c>
      <c r="B1270" t="s">
        <v>10</v>
      </c>
      <c r="C1270" s="1">
        <v>43484</v>
      </c>
      <c r="D1270">
        <v>2019</v>
      </c>
      <c r="E1270">
        <v>1</v>
      </c>
      <c r="F1270">
        <v>0</v>
      </c>
      <c r="G1270" t="s">
        <v>9</v>
      </c>
    </row>
    <row r="1271" spans="1:7" x14ac:dyDescent="0.25">
      <c r="A1271" t="s">
        <v>7</v>
      </c>
      <c r="B1271" t="s">
        <v>10</v>
      </c>
      <c r="C1271" s="1">
        <v>43487</v>
      </c>
      <c r="D1271">
        <v>2019</v>
      </c>
      <c r="E1271">
        <v>1</v>
      </c>
      <c r="F1271">
        <v>0</v>
      </c>
      <c r="G1271" t="s">
        <v>9</v>
      </c>
    </row>
    <row r="1272" spans="1:7" x14ac:dyDescent="0.25">
      <c r="A1272" t="s">
        <v>7</v>
      </c>
      <c r="B1272" t="s">
        <v>10</v>
      </c>
      <c r="C1272" s="1">
        <v>43490</v>
      </c>
      <c r="D1272">
        <v>2019</v>
      </c>
      <c r="E1272">
        <v>1</v>
      </c>
      <c r="F1272">
        <v>0</v>
      </c>
      <c r="G1272" t="s">
        <v>9</v>
      </c>
    </row>
    <row r="1273" spans="1:7" x14ac:dyDescent="0.25">
      <c r="A1273" t="s">
        <v>7</v>
      </c>
      <c r="B1273" t="s">
        <v>10</v>
      </c>
      <c r="C1273" s="1">
        <v>43497</v>
      </c>
      <c r="D1273">
        <v>2019</v>
      </c>
      <c r="E1273">
        <v>2</v>
      </c>
      <c r="F1273">
        <v>0</v>
      </c>
      <c r="G1273" t="s">
        <v>9</v>
      </c>
    </row>
    <row r="1274" spans="1:7" x14ac:dyDescent="0.25">
      <c r="A1274" t="s">
        <v>7</v>
      </c>
      <c r="B1274" t="s">
        <v>10</v>
      </c>
      <c r="C1274" s="1">
        <v>43504</v>
      </c>
      <c r="D1274">
        <v>2019</v>
      </c>
      <c r="E1274">
        <v>2</v>
      </c>
      <c r="F1274">
        <v>0</v>
      </c>
      <c r="G1274" t="s">
        <v>9</v>
      </c>
    </row>
    <row r="1275" spans="1:7" x14ac:dyDescent="0.25">
      <c r="A1275" t="s">
        <v>7</v>
      </c>
      <c r="B1275" t="s">
        <v>10</v>
      </c>
      <c r="C1275" s="1">
        <v>43508</v>
      </c>
      <c r="D1275">
        <v>2019</v>
      </c>
      <c r="E1275">
        <v>2</v>
      </c>
      <c r="F1275">
        <v>0</v>
      </c>
      <c r="G1275" t="s">
        <v>9</v>
      </c>
    </row>
    <row r="1276" spans="1:7" x14ac:dyDescent="0.25">
      <c r="A1276" t="s">
        <v>7</v>
      </c>
      <c r="B1276" t="s">
        <v>10</v>
      </c>
      <c r="C1276" s="1">
        <v>43527</v>
      </c>
      <c r="D1276">
        <v>2019</v>
      </c>
      <c r="E1276">
        <v>3</v>
      </c>
      <c r="F1276">
        <v>4.9244675640000004</v>
      </c>
      <c r="G1276" t="s">
        <v>9</v>
      </c>
    </row>
    <row r="1277" spans="1:7" x14ac:dyDescent="0.25">
      <c r="A1277" t="s">
        <v>7</v>
      </c>
      <c r="B1277" t="s">
        <v>10</v>
      </c>
      <c r="C1277" s="1">
        <v>43532</v>
      </c>
      <c r="D1277">
        <v>2019</v>
      </c>
      <c r="E1277">
        <v>3</v>
      </c>
      <c r="F1277">
        <v>0</v>
      </c>
      <c r="G1277" t="s">
        <v>9</v>
      </c>
    </row>
    <row r="1278" spans="1:7" x14ac:dyDescent="0.25">
      <c r="A1278" t="s">
        <v>7</v>
      </c>
      <c r="B1278" t="s">
        <v>10</v>
      </c>
      <c r="C1278" s="1">
        <v>43536</v>
      </c>
      <c r="D1278">
        <v>2019</v>
      </c>
      <c r="E1278">
        <v>3</v>
      </c>
      <c r="F1278">
        <v>0</v>
      </c>
      <c r="G1278" t="s">
        <v>9</v>
      </c>
    </row>
    <row r="1279" spans="1:7" x14ac:dyDescent="0.25">
      <c r="A1279" t="s">
        <v>7</v>
      </c>
      <c r="B1279" t="s">
        <v>10</v>
      </c>
      <c r="C1279" s="1">
        <v>43539</v>
      </c>
      <c r="D1279">
        <v>2019</v>
      </c>
      <c r="E1279">
        <v>3</v>
      </c>
      <c r="F1279">
        <v>0</v>
      </c>
      <c r="G1279" t="s">
        <v>9</v>
      </c>
    </row>
    <row r="1280" spans="1:7" x14ac:dyDescent="0.25">
      <c r="A1280" t="s">
        <v>7</v>
      </c>
      <c r="B1280" t="s">
        <v>10</v>
      </c>
      <c r="C1280" s="1">
        <v>43545</v>
      </c>
      <c r="D1280">
        <v>2019</v>
      </c>
      <c r="E1280">
        <v>3</v>
      </c>
      <c r="F1280">
        <v>0</v>
      </c>
      <c r="G1280" t="s">
        <v>9</v>
      </c>
    </row>
    <row r="1281" spans="1:7" x14ac:dyDescent="0.25">
      <c r="A1281" t="s">
        <v>7</v>
      </c>
      <c r="B1281" t="s">
        <v>10</v>
      </c>
      <c r="C1281" s="1">
        <v>43549</v>
      </c>
      <c r="D1281">
        <v>2019</v>
      </c>
      <c r="E1281">
        <v>3</v>
      </c>
      <c r="F1281">
        <v>0</v>
      </c>
      <c r="G1281" t="s">
        <v>9</v>
      </c>
    </row>
    <row r="1282" spans="1:7" x14ac:dyDescent="0.25">
      <c r="A1282" t="s">
        <v>7</v>
      </c>
      <c r="B1282" t="s">
        <v>10</v>
      </c>
      <c r="C1282" s="1">
        <v>43556</v>
      </c>
      <c r="D1282">
        <v>2019</v>
      </c>
      <c r="E1282">
        <v>4</v>
      </c>
      <c r="F1282">
        <v>0</v>
      </c>
      <c r="G1282" t="s">
        <v>9</v>
      </c>
    </row>
    <row r="1283" spans="1:7" x14ac:dyDescent="0.25">
      <c r="A1283" t="s">
        <v>7</v>
      </c>
      <c r="B1283" t="s">
        <v>10</v>
      </c>
      <c r="C1283" s="1">
        <v>43558</v>
      </c>
      <c r="D1283">
        <v>2019</v>
      </c>
      <c r="E1283">
        <v>4</v>
      </c>
      <c r="F1283">
        <v>0</v>
      </c>
      <c r="G1283" t="s">
        <v>9</v>
      </c>
    </row>
    <row r="1284" spans="1:7" x14ac:dyDescent="0.25">
      <c r="A1284" t="s">
        <v>7</v>
      </c>
      <c r="B1284" t="s">
        <v>10</v>
      </c>
      <c r="C1284" s="1">
        <v>43566</v>
      </c>
      <c r="D1284">
        <v>2019</v>
      </c>
      <c r="E1284">
        <v>4</v>
      </c>
      <c r="F1284">
        <v>5.0578594209999999</v>
      </c>
      <c r="G1284" t="s">
        <v>9</v>
      </c>
    </row>
    <row r="1285" spans="1:7" x14ac:dyDescent="0.25">
      <c r="A1285" t="s">
        <v>7</v>
      </c>
      <c r="B1285" t="s">
        <v>10</v>
      </c>
      <c r="C1285" s="1">
        <v>43567</v>
      </c>
      <c r="D1285">
        <v>2019</v>
      </c>
      <c r="E1285">
        <v>4</v>
      </c>
      <c r="F1285">
        <v>0</v>
      </c>
      <c r="G1285" t="s">
        <v>9</v>
      </c>
    </row>
    <row r="1286" spans="1:7" x14ac:dyDescent="0.25">
      <c r="A1286" t="s">
        <v>7</v>
      </c>
      <c r="B1286" t="s">
        <v>10</v>
      </c>
      <c r="C1286" s="1">
        <v>43571</v>
      </c>
      <c r="D1286">
        <v>2019</v>
      </c>
      <c r="E1286">
        <v>4</v>
      </c>
      <c r="F1286">
        <v>0</v>
      </c>
      <c r="G1286" t="s">
        <v>9</v>
      </c>
    </row>
    <row r="1287" spans="1:7" x14ac:dyDescent="0.25">
      <c r="A1287" t="s">
        <v>7</v>
      </c>
      <c r="B1287" t="s">
        <v>10</v>
      </c>
      <c r="C1287" s="1">
        <v>43572</v>
      </c>
      <c r="D1287">
        <v>2019</v>
      </c>
      <c r="E1287">
        <v>4</v>
      </c>
      <c r="F1287">
        <v>0</v>
      </c>
      <c r="G1287" t="s">
        <v>9</v>
      </c>
    </row>
    <row r="1288" spans="1:7" x14ac:dyDescent="0.25">
      <c r="A1288" t="s">
        <v>7</v>
      </c>
      <c r="B1288" t="s">
        <v>10</v>
      </c>
      <c r="C1288" s="1">
        <v>43577</v>
      </c>
      <c r="D1288">
        <v>2019</v>
      </c>
      <c r="E1288">
        <v>4</v>
      </c>
      <c r="F1288">
        <v>16.208616259999999</v>
      </c>
      <c r="G1288" t="s">
        <v>9</v>
      </c>
    </row>
    <row r="1289" spans="1:7" x14ac:dyDescent="0.25">
      <c r="A1289" t="s">
        <v>7</v>
      </c>
      <c r="B1289" t="s">
        <v>10</v>
      </c>
      <c r="C1289" s="1">
        <v>43581</v>
      </c>
      <c r="D1289">
        <v>2019</v>
      </c>
      <c r="E1289">
        <v>4</v>
      </c>
      <c r="F1289">
        <v>0</v>
      </c>
      <c r="G1289" t="s">
        <v>9</v>
      </c>
    </row>
    <row r="1290" spans="1:7" x14ac:dyDescent="0.25">
      <c r="A1290" t="s">
        <v>7</v>
      </c>
      <c r="B1290" t="s">
        <v>10</v>
      </c>
      <c r="C1290" s="1">
        <v>43583</v>
      </c>
      <c r="D1290">
        <v>2019</v>
      </c>
      <c r="E1290">
        <v>4</v>
      </c>
      <c r="F1290">
        <v>1.8094172479999999</v>
      </c>
      <c r="G1290" t="s">
        <v>9</v>
      </c>
    </row>
    <row r="1291" spans="1:7" x14ac:dyDescent="0.25">
      <c r="A1291" t="s">
        <v>7</v>
      </c>
      <c r="B1291" t="s">
        <v>10</v>
      </c>
      <c r="C1291" s="1">
        <v>43586</v>
      </c>
      <c r="D1291">
        <v>2019</v>
      </c>
      <c r="E1291">
        <v>5</v>
      </c>
      <c r="F1291">
        <v>0</v>
      </c>
      <c r="G1291" t="s">
        <v>9</v>
      </c>
    </row>
    <row r="1292" spans="1:7" x14ac:dyDescent="0.25">
      <c r="A1292" t="s">
        <v>7</v>
      </c>
      <c r="B1292" t="s">
        <v>10</v>
      </c>
      <c r="C1292" s="1">
        <v>43587</v>
      </c>
      <c r="D1292">
        <v>2019</v>
      </c>
      <c r="E1292">
        <v>5</v>
      </c>
      <c r="F1292">
        <v>0.116736598</v>
      </c>
      <c r="G1292" t="s">
        <v>9</v>
      </c>
    </row>
    <row r="1293" spans="1:7" x14ac:dyDescent="0.25">
      <c r="A1293" t="s">
        <v>7</v>
      </c>
      <c r="B1293" t="s">
        <v>10</v>
      </c>
      <c r="C1293" s="1">
        <v>43589</v>
      </c>
      <c r="D1293">
        <v>2019</v>
      </c>
      <c r="E1293">
        <v>5</v>
      </c>
      <c r="F1293">
        <v>0</v>
      </c>
      <c r="G1293" t="s">
        <v>9</v>
      </c>
    </row>
    <row r="1294" spans="1:7" x14ac:dyDescent="0.25">
      <c r="A1294" t="s">
        <v>7</v>
      </c>
      <c r="B1294" t="s">
        <v>10</v>
      </c>
      <c r="C1294" s="1">
        <v>43600</v>
      </c>
      <c r="D1294">
        <v>2019</v>
      </c>
      <c r="E1294">
        <v>5</v>
      </c>
      <c r="F1294">
        <v>0</v>
      </c>
      <c r="G1294" t="s">
        <v>9</v>
      </c>
    </row>
    <row r="1295" spans="1:7" x14ac:dyDescent="0.25">
      <c r="A1295" t="s">
        <v>7</v>
      </c>
      <c r="B1295" t="s">
        <v>10</v>
      </c>
      <c r="C1295" s="1">
        <v>43609</v>
      </c>
      <c r="D1295">
        <v>2019</v>
      </c>
      <c r="E1295">
        <v>5</v>
      </c>
      <c r="F1295">
        <v>0</v>
      </c>
      <c r="G1295" t="s">
        <v>9</v>
      </c>
    </row>
    <row r="1296" spans="1:7" x14ac:dyDescent="0.25">
      <c r="A1296" t="s">
        <v>7</v>
      </c>
      <c r="B1296" t="s">
        <v>10</v>
      </c>
      <c r="C1296" s="1">
        <v>43612</v>
      </c>
      <c r="D1296">
        <v>2019</v>
      </c>
      <c r="E1296">
        <v>5</v>
      </c>
      <c r="F1296">
        <v>0.35020980200000001</v>
      </c>
      <c r="G1296" t="s">
        <v>9</v>
      </c>
    </row>
    <row r="1297" spans="1:7" x14ac:dyDescent="0.25">
      <c r="A1297" t="s">
        <v>7</v>
      </c>
      <c r="B1297" t="s">
        <v>10</v>
      </c>
      <c r="C1297" s="1">
        <v>43615</v>
      </c>
      <c r="D1297">
        <v>2019</v>
      </c>
      <c r="E1297">
        <v>5</v>
      </c>
      <c r="F1297">
        <v>7.6356153490000001</v>
      </c>
      <c r="G1297" t="s">
        <v>9</v>
      </c>
    </row>
    <row r="1298" spans="1:7" x14ac:dyDescent="0.25">
      <c r="A1298" t="s">
        <v>7</v>
      </c>
      <c r="B1298" t="s">
        <v>10</v>
      </c>
      <c r="C1298" s="1">
        <v>43616</v>
      </c>
      <c r="D1298">
        <v>2019</v>
      </c>
      <c r="E1298">
        <v>5</v>
      </c>
      <c r="F1298">
        <v>0</v>
      </c>
      <c r="G1298" t="s">
        <v>9</v>
      </c>
    </row>
    <row r="1299" spans="1:7" x14ac:dyDescent="0.25">
      <c r="A1299" t="s">
        <v>7</v>
      </c>
      <c r="B1299" t="s">
        <v>10</v>
      </c>
      <c r="C1299" s="1">
        <v>43621</v>
      </c>
      <c r="D1299">
        <v>2019</v>
      </c>
      <c r="E1299">
        <v>6</v>
      </c>
      <c r="F1299">
        <v>0</v>
      </c>
      <c r="G1299" t="s">
        <v>9</v>
      </c>
    </row>
    <row r="1300" spans="1:7" x14ac:dyDescent="0.25">
      <c r="A1300" t="s">
        <v>7</v>
      </c>
      <c r="B1300" t="s">
        <v>10</v>
      </c>
      <c r="C1300" s="1">
        <v>43626</v>
      </c>
      <c r="D1300">
        <v>2019</v>
      </c>
      <c r="E1300">
        <v>6</v>
      </c>
      <c r="F1300">
        <v>0</v>
      </c>
      <c r="G1300" t="s">
        <v>9</v>
      </c>
    </row>
    <row r="1301" spans="1:7" x14ac:dyDescent="0.25">
      <c r="A1301" t="s">
        <v>7</v>
      </c>
      <c r="B1301" t="s">
        <v>10</v>
      </c>
      <c r="C1301" s="1">
        <v>43627</v>
      </c>
      <c r="D1301">
        <v>2019</v>
      </c>
      <c r="E1301">
        <v>6</v>
      </c>
      <c r="F1301">
        <v>0</v>
      </c>
      <c r="G1301" t="s">
        <v>9</v>
      </c>
    </row>
    <row r="1302" spans="1:7" x14ac:dyDescent="0.25">
      <c r="A1302" t="s">
        <v>7</v>
      </c>
      <c r="B1302" t="s">
        <v>10</v>
      </c>
      <c r="C1302" s="1">
        <v>43636</v>
      </c>
      <c r="D1302">
        <v>2019</v>
      </c>
      <c r="E1302">
        <v>6</v>
      </c>
      <c r="F1302">
        <v>2.7994828219999999</v>
      </c>
      <c r="G1302" t="s">
        <v>9</v>
      </c>
    </row>
    <row r="1303" spans="1:7" x14ac:dyDescent="0.25">
      <c r="A1303" t="s">
        <v>7</v>
      </c>
      <c r="B1303" t="s">
        <v>10</v>
      </c>
      <c r="C1303" s="1">
        <v>43639</v>
      </c>
      <c r="D1303">
        <v>2019</v>
      </c>
      <c r="E1303">
        <v>6</v>
      </c>
      <c r="F1303">
        <v>31.526943209999999</v>
      </c>
      <c r="G1303" t="s">
        <v>9</v>
      </c>
    </row>
    <row r="1304" spans="1:7" x14ac:dyDescent="0.25">
      <c r="A1304" t="s">
        <v>7</v>
      </c>
      <c r="B1304" t="s">
        <v>10</v>
      </c>
      <c r="C1304" s="1">
        <v>43647</v>
      </c>
      <c r="D1304">
        <v>2019</v>
      </c>
      <c r="E1304">
        <v>7</v>
      </c>
      <c r="F1304">
        <v>9.5566167830000008</v>
      </c>
      <c r="G1304" t="s">
        <v>9</v>
      </c>
    </row>
    <row r="1305" spans="1:7" x14ac:dyDescent="0.25">
      <c r="A1305" t="s">
        <v>7</v>
      </c>
      <c r="B1305" t="s">
        <v>10</v>
      </c>
      <c r="C1305" s="1">
        <v>43652</v>
      </c>
      <c r="D1305">
        <v>2019</v>
      </c>
      <c r="E1305">
        <v>7</v>
      </c>
      <c r="F1305">
        <v>6.6993508339999996</v>
      </c>
      <c r="G1305" t="s">
        <v>9</v>
      </c>
    </row>
    <row r="1306" spans="1:7" x14ac:dyDescent="0.25">
      <c r="A1306" t="s">
        <v>7</v>
      </c>
      <c r="B1306" t="s">
        <v>10</v>
      </c>
      <c r="C1306" s="1">
        <v>43656</v>
      </c>
      <c r="D1306">
        <v>2019</v>
      </c>
      <c r="E1306">
        <v>7</v>
      </c>
      <c r="F1306">
        <v>0.532004476</v>
      </c>
      <c r="G1306" t="s">
        <v>9</v>
      </c>
    </row>
    <row r="1307" spans="1:7" x14ac:dyDescent="0.25">
      <c r="A1307" t="s">
        <v>7</v>
      </c>
      <c r="B1307" t="s">
        <v>10</v>
      </c>
      <c r="C1307" s="1">
        <v>43664</v>
      </c>
      <c r="D1307">
        <v>2019</v>
      </c>
      <c r="E1307">
        <v>7</v>
      </c>
      <c r="F1307">
        <v>0.88651490200000005</v>
      </c>
      <c r="G1307" t="s">
        <v>9</v>
      </c>
    </row>
    <row r="1308" spans="1:7" x14ac:dyDescent="0.25">
      <c r="A1308" t="s">
        <v>7</v>
      </c>
      <c r="B1308" t="s">
        <v>10</v>
      </c>
      <c r="C1308" s="1">
        <v>43669</v>
      </c>
      <c r="D1308">
        <v>2019</v>
      </c>
      <c r="E1308">
        <v>7</v>
      </c>
      <c r="F1308">
        <v>0</v>
      </c>
      <c r="G1308" t="s">
        <v>9</v>
      </c>
    </row>
    <row r="1309" spans="1:7" x14ac:dyDescent="0.25">
      <c r="A1309" t="s">
        <v>7</v>
      </c>
      <c r="B1309" t="s">
        <v>10</v>
      </c>
      <c r="C1309" s="1">
        <v>43674</v>
      </c>
      <c r="D1309">
        <v>2019</v>
      </c>
      <c r="E1309">
        <v>7</v>
      </c>
      <c r="F1309">
        <v>36.681240080000002</v>
      </c>
      <c r="G1309" t="s">
        <v>9</v>
      </c>
    </row>
    <row r="1310" spans="1:7" x14ac:dyDescent="0.25">
      <c r="A1310" t="s">
        <v>7</v>
      </c>
      <c r="B1310" t="s">
        <v>10</v>
      </c>
      <c r="C1310" s="1">
        <v>43682</v>
      </c>
      <c r="D1310">
        <v>2019</v>
      </c>
      <c r="E1310">
        <v>8</v>
      </c>
      <c r="F1310">
        <v>0.35020980200000001</v>
      </c>
      <c r="G1310" t="s">
        <v>9</v>
      </c>
    </row>
    <row r="1311" spans="1:7" x14ac:dyDescent="0.25">
      <c r="A1311" t="s">
        <v>7</v>
      </c>
      <c r="B1311" t="s">
        <v>10</v>
      </c>
      <c r="C1311" s="1">
        <v>43684</v>
      </c>
      <c r="D1311">
        <v>2019</v>
      </c>
      <c r="E1311">
        <v>8</v>
      </c>
      <c r="F1311">
        <v>62.494129180000002</v>
      </c>
      <c r="G1311" t="s">
        <v>9</v>
      </c>
    </row>
    <row r="1312" spans="1:7" x14ac:dyDescent="0.25">
      <c r="A1312" t="s">
        <v>7</v>
      </c>
      <c r="B1312" t="s">
        <v>10</v>
      </c>
      <c r="C1312" s="1">
        <v>43691</v>
      </c>
      <c r="D1312">
        <v>2019</v>
      </c>
      <c r="E1312">
        <v>8</v>
      </c>
      <c r="F1312">
        <v>13.41856003</v>
      </c>
      <c r="G1312" t="s">
        <v>9</v>
      </c>
    </row>
    <row r="1313" spans="1:7" x14ac:dyDescent="0.25">
      <c r="A1313" t="s">
        <v>7</v>
      </c>
      <c r="B1313" t="s">
        <v>10</v>
      </c>
      <c r="C1313" s="1">
        <v>43698</v>
      </c>
      <c r="D1313">
        <v>2019</v>
      </c>
      <c r="E1313">
        <v>8</v>
      </c>
      <c r="F1313">
        <v>0</v>
      </c>
      <c r="G1313" t="s">
        <v>9</v>
      </c>
    </row>
    <row r="1314" spans="1:7" x14ac:dyDescent="0.25">
      <c r="A1314" t="s">
        <v>7</v>
      </c>
      <c r="B1314" t="s">
        <v>10</v>
      </c>
      <c r="C1314" s="1">
        <v>43702</v>
      </c>
      <c r="D1314">
        <v>2019</v>
      </c>
      <c r="E1314">
        <v>8</v>
      </c>
      <c r="F1314">
        <v>8.2871580120000008</v>
      </c>
      <c r="G1314" t="s">
        <v>9</v>
      </c>
    </row>
    <row r="1315" spans="1:7" x14ac:dyDescent="0.25">
      <c r="A1315" t="s">
        <v>7</v>
      </c>
      <c r="B1315" t="s">
        <v>10</v>
      </c>
      <c r="C1315" s="1">
        <v>43713</v>
      </c>
      <c r="D1315">
        <v>2019</v>
      </c>
      <c r="E1315">
        <v>9</v>
      </c>
      <c r="F1315">
        <v>8.2069664000000007</v>
      </c>
      <c r="G1315" t="s">
        <v>9</v>
      </c>
    </row>
    <row r="1316" spans="1:7" x14ac:dyDescent="0.25">
      <c r="A1316" t="s">
        <v>7</v>
      </c>
      <c r="B1316" t="s">
        <v>10</v>
      </c>
      <c r="C1316" s="1">
        <v>43718</v>
      </c>
      <c r="D1316">
        <v>2019</v>
      </c>
      <c r="E1316">
        <v>9</v>
      </c>
      <c r="F1316">
        <v>10.393147470000001</v>
      </c>
      <c r="G1316" t="s">
        <v>9</v>
      </c>
    </row>
    <row r="1317" spans="1:7" x14ac:dyDescent="0.25">
      <c r="A1317" t="s">
        <v>7</v>
      </c>
      <c r="B1317" t="s">
        <v>10</v>
      </c>
      <c r="C1317" s="1">
        <v>43719</v>
      </c>
      <c r="D1317">
        <v>2019</v>
      </c>
      <c r="E1317">
        <v>9</v>
      </c>
      <c r="F1317">
        <v>7.1233963969999996</v>
      </c>
      <c r="G1317" t="s">
        <v>9</v>
      </c>
    </row>
    <row r="1318" spans="1:7" x14ac:dyDescent="0.25">
      <c r="A1318" t="s">
        <v>7</v>
      </c>
      <c r="B1318" t="s">
        <v>10</v>
      </c>
      <c r="C1318" s="1">
        <v>43728</v>
      </c>
      <c r="D1318">
        <v>2019</v>
      </c>
      <c r="E1318">
        <v>9</v>
      </c>
      <c r="F1318">
        <v>15.07994843</v>
      </c>
      <c r="G1318" t="s">
        <v>9</v>
      </c>
    </row>
    <row r="1319" spans="1:7" x14ac:dyDescent="0.25">
      <c r="A1319" t="s">
        <v>7</v>
      </c>
      <c r="B1319" t="s">
        <v>10</v>
      </c>
      <c r="C1319" s="1">
        <v>43730</v>
      </c>
      <c r="D1319">
        <v>2019</v>
      </c>
      <c r="E1319">
        <v>9</v>
      </c>
      <c r="F1319">
        <v>0.28597289300000001</v>
      </c>
      <c r="G1319" t="s">
        <v>9</v>
      </c>
    </row>
    <row r="1320" spans="1:7" x14ac:dyDescent="0.25">
      <c r="A1320" t="s">
        <v>7</v>
      </c>
      <c r="B1320" t="s">
        <v>10</v>
      </c>
      <c r="C1320" s="1">
        <v>43734</v>
      </c>
      <c r="D1320">
        <v>2019</v>
      </c>
      <c r="E1320">
        <v>9</v>
      </c>
      <c r="F1320">
        <v>7.7768802639999999</v>
      </c>
      <c r="G1320" t="s">
        <v>9</v>
      </c>
    </row>
    <row r="1321" spans="1:7" x14ac:dyDescent="0.25">
      <c r="A1321" t="s">
        <v>7</v>
      </c>
      <c r="B1321" t="s">
        <v>10</v>
      </c>
      <c r="C1321" s="1">
        <v>43737</v>
      </c>
      <c r="D1321">
        <v>2019</v>
      </c>
      <c r="E1321">
        <v>9</v>
      </c>
      <c r="F1321">
        <v>0</v>
      </c>
      <c r="G1321" t="s">
        <v>9</v>
      </c>
    </row>
    <row r="1322" spans="1:7" x14ac:dyDescent="0.25">
      <c r="A1322" t="s">
        <v>7</v>
      </c>
      <c r="B1322" t="s">
        <v>10</v>
      </c>
      <c r="C1322" s="1">
        <v>43739</v>
      </c>
      <c r="D1322">
        <v>2019</v>
      </c>
      <c r="E1322">
        <v>10</v>
      </c>
      <c r="F1322">
        <v>1.91419673</v>
      </c>
      <c r="G1322" t="s">
        <v>9</v>
      </c>
    </row>
    <row r="1323" spans="1:7" x14ac:dyDescent="0.25">
      <c r="A1323" t="s">
        <v>7</v>
      </c>
      <c r="B1323" t="s">
        <v>10</v>
      </c>
      <c r="C1323" s="1">
        <v>43741</v>
      </c>
      <c r="D1323">
        <v>2019</v>
      </c>
      <c r="E1323">
        <v>10</v>
      </c>
      <c r="F1323">
        <v>3.1370675559999999</v>
      </c>
      <c r="G1323" t="s">
        <v>9</v>
      </c>
    </row>
    <row r="1324" spans="1:7" x14ac:dyDescent="0.25">
      <c r="A1324" t="s">
        <v>7</v>
      </c>
      <c r="B1324" t="s">
        <v>10</v>
      </c>
      <c r="C1324" s="1">
        <v>43745</v>
      </c>
      <c r="D1324">
        <v>2019</v>
      </c>
      <c r="E1324">
        <v>10</v>
      </c>
      <c r="F1324">
        <v>7.7046151160000003</v>
      </c>
      <c r="G1324" t="s">
        <v>9</v>
      </c>
    </row>
    <row r="1325" spans="1:7" x14ac:dyDescent="0.25">
      <c r="A1325" t="s">
        <v>7</v>
      </c>
      <c r="B1325" t="s">
        <v>10</v>
      </c>
      <c r="C1325" s="1">
        <v>43749</v>
      </c>
      <c r="D1325">
        <v>2019</v>
      </c>
      <c r="E1325">
        <v>10</v>
      </c>
      <c r="F1325">
        <v>2.234274149</v>
      </c>
      <c r="G1325" t="s">
        <v>9</v>
      </c>
    </row>
    <row r="1326" spans="1:7" x14ac:dyDescent="0.25">
      <c r="A1326" t="s">
        <v>7</v>
      </c>
      <c r="B1326" t="s">
        <v>10</v>
      </c>
      <c r="C1326" s="1">
        <v>43751</v>
      </c>
      <c r="D1326">
        <v>2019</v>
      </c>
      <c r="E1326">
        <v>10</v>
      </c>
      <c r="F1326">
        <v>4.9431948659999998</v>
      </c>
      <c r="G1326" t="s">
        <v>9</v>
      </c>
    </row>
    <row r="1327" spans="1:7" x14ac:dyDescent="0.25">
      <c r="A1327" t="s">
        <v>7</v>
      </c>
      <c r="B1327" t="s">
        <v>10</v>
      </c>
      <c r="C1327" s="1">
        <v>43764</v>
      </c>
      <c r="D1327">
        <v>2019</v>
      </c>
      <c r="E1327">
        <v>10</v>
      </c>
      <c r="F1327">
        <v>0</v>
      </c>
      <c r="G1327" t="s">
        <v>9</v>
      </c>
    </row>
    <row r="1328" spans="1:7" x14ac:dyDescent="0.25">
      <c r="A1328" t="s">
        <v>7</v>
      </c>
      <c r="B1328" t="s">
        <v>10</v>
      </c>
      <c r="C1328" s="1">
        <v>43767</v>
      </c>
      <c r="D1328">
        <v>2019</v>
      </c>
      <c r="E1328">
        <v>10</v>
      </c>
      <c r="F1328">
        <v>1.248456478</v>
      </c>
      <c r="G1328" t="s">
        <v>9</v>
      </c>
    </row>
    <row r="1329" spans="1:7" x14ac:dyDescent="0.25">
      <c r="A1329" t="s">
        <v>7</v>
      </c>
      <c r="B1329" t="s">
        <v>10</v>
      </c>
      <c r="C1329" s="1">
        <v>43777</v>
      </c>
      <c r="D1329">
        <v>2019</v>
      </c>
      <c r="E1329">
        <v>11</v>
      </c>
      <c r="F1329">
        <v>0</v>
      </c>
      <c r="G1329" t="s">
        <v>9</v>
      </c>
    </row>
    <row r="1330" spans="1:7" x14ac:dyDescent="0.25">
      <c r="A1330" t="s">
        <v>7</v>
      </c>
      <c r="B1330" t="s">
        <v>10</v>
      </c>
      <c r="C1330" s="1">
        <v>43783</v>
      </c>
      <c r="D1330">
        <v>2019</v>
      </c>
      <c r="E1330">
        <v>11</v>
      </c>
      <c r="F1330">
        <v>0</v>
      </c>
      <c r="G1330" t="s">
        <v>9</v>
      </c>
    </row>
    <row r="1331" spans="1:7" x14ac:dyDescent="0.25">
      <c r="A1331" t="s">
        <v>7</v>
      </c>
      <c r="B1331" t="s">
        <v>10</v>
      </c>
      <c r="C1331" s="1">
        <v>43785</v>
      </c>
      <c r="D1331">
        <v>2019</v>
      </c>
      <c r="E1331">
        <v>11</v>
      </c>
      <c r="F1331">
        <v>0</v>
      </c>
      <c r="G1331" t="s">
        <v>9</v>
      </c>
    </row>
    <row r="1332" spans="1:7" x14ac:dyDescent="0.25">
      <c r="A1332" t="s">
        <v>7</v>
      </c>
      <c r="B1332" t="s">
        <v>10</v>
      </c>
      <c r="C1332" s="1">
        <v>43786</v>
      </c>
      <c r="D1332">
        <v>2019</v>
      </c>
      <c r="E1332">
        <v>11</v>
      </c>
      <c r="F1332">
        <v>0</v>
      </c>
      <c r="G1332" t="s">
        <v>9</v>
      </c>
    </row>
    <row r="1333" spans="1:7" x14ac:dyDescent="0.25">
      <c r="A1333" t="s">
        <v>7</v>
      </c>
      <c r="B1333" t="s">
        <v>10</v>
      </c>
      <c r="C1333" s="1">
        <v>43790</v>
      </c>
      <c r="D1333">
        <v>2019</v>
      </c>
      <c r="E1333">
        <v>11</v>
      </c>
      <c r="F1333">
        <v>0</v>
      </c>
      <c r="G1333" t="s">
        <v>9</v>
      </c>
    </row>
    <row r="1334" spans="1:7" x14ac:dyDescent="0.25">
      <c r="A1334" t="s">
        <v>7</v>
      </c>
      <c r="B1334" t="s">
        <v>10</v>
      </c>
      <c r="C1334" s="1">
        <v>43793</v>
      </c>
      <c r="D1334">
        <v>2019</v>
      </c>
      <c r="E1334">
        <v>11</v>
      </c>
      <c r="F1334">
        <v>0</v>
      </c>
      <c r="G1334" t="s">
        <v>9</v>
      </c>
    </row>
    <row r="1335" spans="1:7" x14ac:dyDescent="0.25">
      <c r="A1335" t="s">
        <v>7</v>
      </c>
      <c r="B1335" t="s">
        <v>10</v>
      </c>
      <c r="C1335" s="1">
        <v>43798</v>
      </c>
      <c r="D1335">
        <v>2019</v>
      </c>
      <c r="E1335">
        <v>11</v>
      </c>
      <c r="F1335">
        <v>0</v>
      </c>
      <c r="G1335" t="s">
        <v>9</v>
      </c>
    </row>
    <row r="1336" spans="1:7" x14ac:dyDescent="0.25">
      <c r="A1336" t="s">
        <v>7</v>
      </c>
      <c r="B1336" t="s">
        <v>10</v>
      </c>
      <c r="C1336" s="1">
        <v>43807</v>
      </c>
      <c r="D1336">
        <v>2019</v>
      </c>
      <c r="E1336">
        <v>12</v>
      </c>
      <c r="F1336">
        <v>0</v>
      </c>
      <c r="G1336" t="s">
        <v>9</v>
      </c>
    </row>
    <row r="1337" spans="1:7" x14ac:dyDescent="0.25">
      <c r="A1337" t="s">
        <v>7</v>
      </c>
      <c r="B1337" t="s">
        <v>11</v>
      </c>
      <c r="C1337" s="1">
        <v>43473</v>
      </c>
      <c r="D1337">
        <v>2019</v>
      </c>
      <c r="E1337">
        <v>1</v>
      </c>
      <c r="F1337">
        <v>0</v>
      </c>
      <c r="G1337" t="s">
        <v>9</v>
      </c>
    </row>
    <row r="1338" spans="1:7" x14ac:dyDescent="0.25">
      <c r="A1338" t="s">
        <v>7</v>
      </c>
      <c r="B1338" t="s">
        <v>11</v>
      </c>
      <c r="C1338" s="1">
        <v>43485</v>
      </c>
      <c r="D1338">
        <v>2019</v>
      </c>
      <c r="E1338">
        <v>1</v>
      </c>
      <c r="F1338">
        <v>0</v>
      </c>
      <c r="G1338" t="s">
        <v>9</v>
      </c>
    </row>
    <row r="1339" spans="1:7" x14ac:dyDescent="0.25">
      <c r="A1339" t="s">
        <v>7</v>
      </c>
      <c r="B1339" t="s">
        <v>11</v>
      </c>
      <c r="C1339" s="1">
        <v>43487</v>
      </c>
      <c r="D1339">
        <v>2019</v>
      </c>
      <c r="E1339">
        <v>1</v>
      </c>
      <c r="F1339">
        <v>0</v>
      </c>
      <c r="G1339" t="s">
        <v>9</v>
      </c>
    </row>
    <row r="1340" spans="1:7" x14ac:dyDescent="0.25">
      <c r="A1340" t="s">
        <v>7</v>
      </c>
      <c r="B1340" t="s">
        <v>11</v>
      </c>
      <c r="C1340" s="1">
        <v>43493</v>
      </c>
      <c r="D1340">
        <v>2019</v>
      </c>
      <c r="E1340">
        <v>1</v>
      </c>
      <c r="F1340">
        <v>0</v>
      </c>
      <c r="G1340" t="s">
        <v>9</v>
      </c>
    </row>
    <row r="1341" spans="1:7" x14ac:dyDescent="0.25">
      <c r="A1341" t="s">
        <v>7</v>
      </c>
      <c r="B1341" t="s">
        <v>11</v>
      </c>
      <c r="C1341" s="1">
        <v>43494</v>
      </c>
      <c r="D1341">
        <v>2019</v>
      </c>
      <c r="E1341">
        <v>1</v>
      </c>
      <c r="F1341">
        <v>0</v>
      </c>
      <c r="G1341" t="s">
        <v>9</v>
      </c>
    </row>
    <row r="1342" spans="1:7" x14ac:dyDescent="0.25">
      <c r="A1342" t="s">
        <v>7</v>
      </c>
      <c r="B1342" t="s">
        <v>11</v>
      </c>
      <c r="C1342" s="1">
        <v>43495</v>
      </c>
      <c r="D1342">
        <v>2019</v>
      </c>
      <c r="E1342">
        <v>1</v>
      </c>
      <c r="F1342">
        <v>0</v>
      </c>
      <c r="G1342" t="s">
        <v>9</v>
      </c>
    </row>
    <row r="1343" spans="1:7" x14ac:dyDescent="0.25">
      <c r="A1343" t="s">
        <v>7</v>
      </c>
      <c r="B1343" t="s">
        <v>11</v>
      </c>
      <c r="C1343" s="1">
        <v>43499</v>
      </c>
      <c r="D1343">
        <v>2019</v>
      </c>
      <c r="E1343">
        <v>2</v>
      </c>
      <c r="F1343">
        <v>0</v>
      </c>
      <c r="G1343" t="s">
        <v>9</v>
      </c>
    </row>
    <row r="1344" spans="1:7" x14ac:dyDescent="0.25">
      <c r="A1344" t="s">
        <v>7</v>
      </c>
      <c r="B1344" t="s">
        <v>11</v>
      </c>
      <c r="C1344" s="1">
        <v>43500</v>
      </c>
      <c r="D1344">
        <v>2019</v>
      </c>
      <c r="E1344">
        <v>2</v>
      </c>
      <c r="F1344">
        <v>0</v>
      </c>
      <c r="G1344" t="s">
        <v>9</v>
      </c>
    </row>
    <row r="1345" spans="1:7" x14ac:dyDescent="0.25">
      <c r="A1345" t="s">
        <v>7</v>
      </c>
      <c r="B1345" t="s">
        <v>11</v>
      </c>
      <c r="C1345" s="1">
        <v>43512</v>
      </c>
      <c r="D1345">
        <v>2019</v>
      </c>
      <c r="E1345">
        <v>2</v>
      </c>
      <c r="F1345">
        <v>0</v>
      </c>
      <c r="G1345" t="s">
        <v>9</v>
      </c>
    </row>
    <row r="1346" spans="1:7" x14ac:dyDescent="0.25">
      <c r="A1346" t="s">
        <v>7</v>
      </c>
      <c r="B1346" t="s">
        <v>11</v>
      </c>
      <c r="C1346" s="1">
        <v>43518</v>
      </c>
      <c r="D1346">
        <v>2019</v>
      </c>
      <c r="E1346">
        <v>2</v>
      </c>
      <c r="F1346">
        <v>0</v>
      </c>
      <c r="G1346" t="s">
        <v>9</v>
      </c>
    </row>
    <row r="1347" spans="1:7" x14ac:dyDescent="0.25">
      <c r="A1347" t="s">
        <v>7</v>
      </c>
      <c r="B1347" t="s">
        <v>11</v>
      </c>
      <c r="C1347" s="1">
        <v>43524</v>
      </c>
      <c r="D1347">
        <v>2019</v>
      </c>
      <c r="E1347">
        <v>2</v>
      </c>
      <c r="F1347">
        <v>0</v>
      </c>
      <c r="G1347" t="s">
        <v>9</v>
      </c>
    </row>
    <row r="1348" spans="1:7" x14ac:dyDescent="0.25">
      <c r="A1348" t="s">
        <v>7</v>
      </c>
      <c r="B1348" t="s">
        <v>11</v>
      </c>
      <c r="C1348" s="1">
        <v>43529</v>
      </c>
      <c r="D1348">
        <v>2019</v>
      </c>
      <c r="E1348">
        <v>3</v>
      </c>
      <c r="F1348">
        <v>0</v>
      </c>
      <c r="G1348" t="s">
        <v>9</v>
      </c>
    </row>
    <row r="1349" spans="1:7" x14ac:dyDescent="0.25">
      <c r="A1349" t="s">
        <v>7</v>
      </c>
      <c r="B1349" t="s">
        <v>11</v>
      </c>
      <c r="C1349" s="1">
        <v>43531</v>
      </c>
      <c r="D1349">
        <v>2019</v>
      </c>
      <c r="E1349">
        <v>3</v>
      </c>
      <c r="F1349">
        <v>0</v>
      </c>
      <c r="G1349" t="s">
        <v>9</v>
      </c>
    </row>
    <row r="1350" spans="1:7" x14ac:dyDescent="0.25">
      <c r="A1350" t="s">
        <v>7</v>
      </c>
      <c r="B1350" t="s">
        <v>11</v>
      </c>
      <c r="C1350" s="1">
        <v>43533</v>
      </c>
      <c r="D1350">
        <v>2019</v>
      </c>
      <c r="E1350">
        <v>3</v>
      </c>
      <c r="F1350">
        <v>0.59229350300000005</v>
      </c>
      <c r="G1350" t="s">
        <v>9</v>
      </c>
    </row>
    <row r="1351" spans="1:7" x14ac:dyDescent="0.25">
      <c r="A1351" t="s">
        <v>7</v>
      </c>
      <c r="B1351" t="s">
        <v>11</v>
      </c>
      <c r="C1351" s="1">
        <v>43543</v>
      </c>
      <c r="D1351">
        <v>2019</v>
      </c>
      <c r="E1351">
        <v>3</v>
      </c>
      <c r="F1351">
        <v>0</v>
      </c>
      <c r="G1351" t="s">
        <v>9</v>
      </c>
    </row>
    <row r="1352" spans="1:7" x14ac:dyDescent="0.25">
      <c r="A1352" t="s">
        <v>7</v>
      </c>
      <c r="B1352" t="s">
        <v>11</v>
      </c>
      <c r="C1352" s="1">
        <v>43551</v>
      </c>
      <c r="D1352">
        <v>2019</v>
      </c>
      <c r="E1352">
        <v>3</v>
      </c>
      <c r="F1352">
        <v>0</v>
      </c>
      <c r="G1352" t="s">
        <v>9</v>
      </c>
    </row>
    <row r="1353" spans="1:7" x14ac:dyDescent="0.25">
      <c r="A1353" t="s">
        <v>7</v>
      </c>
      <c r="B1353" t="s">
        <v>11</v>
      </c>
      <c r="C1353" s="1">
        <v>43555</v>
      </c>
      <c r="D1353">
        <v>2019</v>
      </c>
      <c r="E1353">
        <v>3</v>
      </c>
      <c r="F1353">
        <v>0</v>
      </c>
      <c r="G1353" t="s">
        <v>9</v>
      </c>
    </row>
    <row r="1354" spans="1:7" x14ac:dyDescent="0.25">
      <c r="A1354" t="s">
        <v>7</v>
      </c>
      <c r="B1354" t="s">
        <v>11</v>
      </c>
      <c r="C1354" s="1">
        <v>43556</v>
      </c>
      <c r="D1354">
        <v>2019</v>
      </c>
      <c r="E1354">
        <v>4</v>
      </c>
      <c r="F1354">
        <v>0</v>
      </c>
      <c r="G1354" t="s">
        <v>9</v>
      </c>
    </row>
    <row r="1355" spans="1:7" x14ac:dyDescent="0.25">
      <c r="A1355" t="s">
        <v>7</v>
      </c>
      <c r="B1355" t="s">
        <v>11</v>
      </c>
      <c r="C1355" s="1">
        <v>43557</v>
      </c>
      <c r="D1355">
        <v>2019</v>
      </c>
      <c r="E1355">
        <v>4</v>
      </c>
      <c r="F1355">
        <v>0</v>
      </c>
      <c r="G1355" t="s">
        <v>9</v>
      </c>
    </row>
    <row r="1356" spans="1:7" x14ac:dyDescent="0.25">
      <c r="A1356" t="s">
        <v>7</v>
      </c>
      <c r="B1356" t="s">
        <v>11</v>
      </c>
      <c r="C1356" s="1">
        <v>43558</v>
      </c>
      <c r="D1356">
        <v>2019</v>
      </c>
      <c r="E1356">
        <v>4</v>
      </c>
      <c r="F1356">
        <v>0</v>
      </c>
      <c r="G1356" t="s">
        <v>9</v>
      </c>
    </row>
    <row r="1357" spans="1:7" x14ac:dyDescent="0.25">
      <c r="A1357" t="s">
        <v>7</v>
      </c>
      <c r="B1357" t="s">
        <v>11</v>
      </c>
      <c r="C1357" s="1">
        <v>43562</v>
      </c>
      <c r="D1357">
        <v>2019</v>
      </c>
      <c r="E1357">
        <v>4</v>
      </c>
      <c r="F1357">
        <v>0</v>
      </c>
      <c r="G1357" t="s">
        <v>9</v>
      </c>
    </row>
    <row r="1358" spans="1:7" x14ac:dyDescent="0.25">
      <c r="A1358" t="s">
        <v>7</v>
      </c>
      <c r="B1358" t="s">
        <v>11</v>
      </c>
      <c r="C1358" s="1">
        <v>43564</v>
      </c>
      <c r="D1358">
        <v>2019</v>
      </c>
      <c r="E1358">
        <v>4</v>
      </c>
      <c r="F1358">
        <v>0</v>
      </c>
      <c r="G1358" t="s">
        <v>9</v>
      </c>
    </row>
    <row r="1359" spans="1:7" x14ac:dyDescent="0.25">
      <c r="A1359" t="s">
        <v>7</v>
      </c>
      <c r="B1359" t="s">
        <v>11</v>
      </c>
      <c r="C1359" s="1">
        <v>43581</v>
      </c>
      <c r="D1359">
        <v>2019</v>
      </c>
      <c r="E1359">
        <v>4</v>
      </c>
      <c r="F1359">
        <v>0</v>
      </c>
      <c r="G1359" t="s">
        <v>9</v>
      </c>
    </row>
    <row r="1360" spans="1:7" x14ac:dyDescent="0.25">
      <c r="A1360" t="s">
        <v>7</v>
      </c>
      <c r="B1360" t="s">
        <v>11</v>
      </c>
      <c r="C1360" s="1">
        <v>43583</v>
      </c>
      <c r="D1360">
        <v>2019</v>
      </c>
      <c r="E1360">
        <v>4</v>
      </c>
      <c r="F1360">
        <v>0</v>
      </c>
      <c r="G1360" t="s">
        <v>9</v>
      </c>
    </row>
    <row r="1361" spans="1:7" x14ac:dyDescent="0.25">
      <c r="A1361" t="s">
        <v>7</v>
      </c>
      <c r="B1361" t="s">
        <v>11</v>
      </c>
      <c r="C1361" s="1">
        <v>43588</v>
      </c>
      <c r="D1361">
        <v>2019</v>
      </c>
      <c r="E1361">
        <v>5</v>
      </c>
      <c r="F1361">
        <v>0</v>
      </c>
      <c r="G1361" t="s">
        <v>9</v>
      </c>
    </row>
    <row r="1362" spans="1:7" x14ac:dyDescent="0.25">
      <c r="A1362" t="s">
        <v>7</v>
      </c>
      <c r="B1362" t="s">
        <v>11</v>
      </c>
      <c r="C1362" s="1">
        <v>43589</v>
      </c>
      <c r="D1362">
        <v>2019</v>
      </c>
      <c r="E1362">
        <v>5</v>
      </c>
      <c r="F1362">
        <v>0</v>
      </c>
      <c r="G1362" t="s">
        <v>9</v>
      </c>
    </row>
    <row r="1363" spans="1:7" x14ac:dyDescent="0.25">
      <c r="A1363" t="s">
        <v>7</v>
      </c>
      <c r="B1363" t="s">
        <v>11</v>
      </c>
      <c r="C1363" s="1">
        <v>43594</v>
      </c>
      <c r="D1363">
        <v>2019</v>
      </c>
      <c r="E1363">
        <v>5</v>
      </c>
      <c r="F1363">
        <v>0</v>
      </c>
      <c r="G1363" t="s">
        <v>9</v>
      </c>
    </row>
    <row r="1364" spans="1:7" x14ac:dyDescent="0.25">
      <c r="A1364" t="s">
        <v>7</v>
      </c>
      <c r="B1364" t="s">
        <v>11</v>
      </c>
      <c r="C1364" s="1">
        <v>43596</v>
      </c>
      <c r="D1364">
        <v>2019</v>
      </c>
      <c r="E1364">
        <v>5</v>
      </c>
      <c r="F1364">
        <v>0</v>
      </c>
      <c r="G1364" t="s">
        <v>9</v>
      </c>
    </row>
    <row r="1365" spans="1:7" x14ac:dyDescent="0.25">
      <c r="A1365" t="s">
        <v>7</v>
      </c>
      <c r="B1365" t="s">
        <v>11</v>
      </c>
      <c r="C1365" s="1">
        <v>43602</v>
      </c>
      <c r="D1365">
        <v>2019</v>
      </c>
      <c r="E1365">
        <v>5</v>
      </c>
      <c r="F1365">
        <v>0</v>
      </c>
      <c r="G1365" t="s">
        <v>9</v>
      </c>
    </row>
    <row r="1366" spans="1:7" x14ac:dyDescent="0.25">
      <c r="A1366" t="s">
        <v>7</v>
      </c>
      <c r="B1366" t="s">
        <v>11</v>
      </c>
      <c r="C1366" s="1">
        <v>43614</v>
      </c>
      <c r="D1366">
        <v>2019</v>
      </c>
      <c r="E1366">
        <v>5</v>
      </c>
      <c r="F1366">
        <v>0</v>
      </c>
      <c r="G1366" t="s">
        <v>9</v>
      </c>
    </row>
    <row r="1367" spans="1:7" x14ac:dyDescent="0.25">
      <c r="A1367" t="s">
        <v>7</v>
      </c>
      <c r="B1367" t="s">
        <v>11</v>
      </c>
      <c r="C1367" s="1">
        <v>43615</v>
      </c>
      <c r="D1367">
        <v>2019</v>
      </c>
      <c r="E1367">
        <v>5</v>
      </c>
      <c r="F1367">
        <v>0</v>
      </c>
      <c r="G1367" t="s">
        <v>9</v>
      </c>
    </row>
    <row r="1368" spans="1:7" x14ac:dyDescent="0.25">
      <c r="A1368" t="s">
        <v>7</v>
      </c>
      <c r="B1368" t="s">
        <v>11</v>
      </c>
      <c r="C1368" s="1">
        <v>43617</v>
      </c>
      <c r="D1368">
        <v>2019</v>
      </c>
      <c r="E1368">
        <v>6</v>
      </c>
      <c r="F1368">
        <v>0</v>
      </c>
      <c r="G1368" t="s">
        <v>9</v>
      </c>
    </row>
    <row r="1369" spans="1:7" x14ac:dyDescent="0.25">
      <c r="A1369" t="s">
        <v>7</v>
      </c>
      <c r="B1369" t="s">
        <v>11</v>
      </c>
      <c r="C1369" s="1">
        <v>43620</v>
      </c>
      <c r="D1369">
        <v>2019</v>
      </c>
      <c r="E1369">
        <v>6</v>
      </c>
      <c r="F1369">
        <v>0</v>
      </c>
      <c r="G1369" t="s">
        <v>9</v>
      </c>
    </row>
    <row r="1370" spans="1:7" x14ac:dyDescent="0.25">
      <c r="A1370" t="s">
        <v>7</v>
      </c>
      <c r="B1370" t="s">
        <v>11</v>
      </c>
      <c r="C1370" s="1">
        <v>43625</v>
      </c>
      <c r="D1370">
        <v>2019</v>
      </c>
      <c r="E1370">
        <v>6</v>
      </c>
      <c r="F1370">
        <v>0</v>
      </c>
      <c r="G1370" t="s">
        <v>9</v>
      </c>
    </row>
    <row r="1371" spans="1:7" x14ac:dyDescent="0.25">
      <c r="A1371" t="s">
        <v>7</v>
      </c>
      <c r="B1371" t="s">
        <v>11</v>
      </c>
      <c r="C1371" s="1">
        <v>43626</v>
      </c>
      <c r="D1371">
        <v>2019</v>
      </c>
      <c r="E1371">
        <v>6</v>
      </c>
      <c r="F1371">
        <v>0</v>
      </c>
      <c r="G1371" t="s">
        <v>9</v>
      </c>
    </row>
    <row r="1372" spans="1:7" x14ac:dyDescent="0.25">
      <c r="A1372" t="s">
        <v>7</v>
      </c>
      <c r="B1372" t="s">
        <v>11</v>
      </c>
      <c r="C1372" s="1">
        <v>43636</v>
      </c>
      <c r="D1372">
        <v>2019</v>
      </c>
      <c r="E1372">
        <v>6</v>
      </c>
      <c r="F1372">
        <v>0</v>
      </c>
      <c r="G1372" t="s">
        <v>9</v>
      </c>
    </row>
    <row r="1373" spans="1:7" x14ac:dyDescent="0.25">
      <c r="A1373" t="s">
        <v>7</v>
      </c>
      <c r="B1373" t="s">
        <v>11</v>
      </c>
      <c r="C1373" s="1">
        <v>43637</v>
      </c>
      <c r="D1373">
        <v>2019</v>
      </c>
      <c r="E1373">
        <v>6</v>
      </c>
      <c r="F1373">
        <v>0</v>
      </c>
      <c r="G1373" t="s">
        <v>9</v>
      </c>
    </row>
    <row r="1374" spans="1:7" x14ac:dyDescent="0.25">
      <c r="A1374" t="s">
        <v>7</v>
      </c>
      <c r="B1374" t="s">
        <v>11</v>
      </c>
      <c r="C1374" s="1">
        <v>43654</v>
      </c>
      <c r="D1374">
        <v>2019</v>
      </c>
      <c r="E1374">
        <v>7</v>
      </c>
      <c r="F1374">
        <v>0</v>
      </c>
      <c r="G1374" t="s">
        <v>9</v>
      </c>
    </row>
    <row r="1375" spans="1:7" x14ac:dyDescent="0.25">
      <c r="A1375" t="s">
        <v>7</v>
      </c>
      <c r="B1375" t="s">
        <v>11</v>
      </c>
      <c r="C1375" s="1">
        <v>43655</v>
      </c>
      <c r="D1375">
        <v>2019</v>
      </c>
      <c r="E1375">
        <v>7</v>
      </c>
      <c r="F1375">
        <v>0</v>
      </c>
      <c r="G1375" t="s">
        <v>9</v>
      </c>
    </row>
    <row r="1376" spans="1:7" x14ac:dyDescent="0.25">
      <c r="A1376" t="s">
        <v>7</v>
      </c>
      <c r="B1376" t="s">
        <v>11</v>
      </c>
      <c r="C1376" s="1">
        <v>43657</v>
      </c>
      <c r="D1376">
        <v>2019</v>
      </c>
      <c r="E1376">
        <v>7</v>
      </c>
      <c r="F1376">
        <v>0.236112393</v>
      </c>
      <c r="G1376" t="s">
        <v>9</v>
      </c>
    </row>
    <row r="1377" spans="1:7" x14ac:dyDescent="0.25">
      <c r="A1377" t="s">
        <v>7</v>
      </c>
      <c r="B1377" t="s">
        <v>11</v>
      </c>
      <c r="C1377" s="1">
        <v>43663</v>
      </c>
      <c r="D1377">
        <v>2019</v>
      </c>
      <c r="E1377">
        <v>7</v>
      </c>
      <c r="F1377">
        <v>0</v>
      </c>
      <c r="G1377" t="s">
        <v>9</v>
      </c>
    </row>
    <row r="1378" spans="1:7" x14ac:dyDescent="0.25">
      <c r="A1378" t="s">
        <v>7</v>
      </c>
      <c r="B1378" t="s">
        <v>11</v>
      </c>
      <c r="C1378" s="1">
        <v>43664</v>
      </c>
      <c r="D1378">
        <v>2019</v>
      </c>
      <c r="E1378">
        <v>7</v>
      </c>
      <c r="F1378">
        <v>0.22177238699999999</v>
      </c>
      <c r="G1378" t="s">
        <v>9</v>
      </c>
    </row>
    <row r="1379" spans="1:7" x14ac:dyDescent="0.25">
      <c r="A1379" t="s">
        <v>7</v>
      </c>
      <c r="B1379" t="s">
        <v>11</v>
      </c>
      <c r="C1379" s="1">
        <v>43671</v>
      </c>
      <c r="D1379">
        <v>2019</v>
      </c>
      <c r="E1379">
        <v>7</v>
      </c>
      <c r="F1379">
        <v>0</v>
      </c>
      <c r="G1379" t="s">
        <v>9</v>
      </c>
    </row>
    <row r="1380" spans="1:7" x14ac:dyDescent="0.25">
      <c r="A1380" t="s">
        <v>7</v>
      </c>
      <c r="B1380" t="s">
        <v>11</v>
      </c>
      <c r="C1380" s="1">
        <v>43680</v>
      </c>
      <c r="D1380">
        <v>2019</v>
      </c>
      <c r="E1380">
        <v>8</v>
      </c>
      <c r="F1380">
        <v>0</v>
      </c>
      <c r="G1380" t="s">
        <v>9</v>
      </c>
    </row>
    <row r="1381" spans="1:7" x14ac:dyDescent="0.25">
      <c r="A1381" t="s">
        <v>7</v>
      </c>
      <c r="B1381" t="s">
        <v>11</v>
      </c>
      <c r="C1381" s="1">
        <v>43681</v>
      </c>
      <c r="D1381">
        <v>2019</v>
      </c>
      <c r="E1381">
        <v>8</v>
      </c>
      <c r="F1381">
        <v>0</v>
      </c>
      <c r="G1381" t="s">
        <v>9</v>
      </c>
    </row>
    <row r="1382" spans="1:7" x14ac:dyDescent="0.25">
      <c r="A1382" t="s">
        <v>7</v>
      </c>
      <c r="B1382" t="s">
        <v>11</v>
      </c>
      <c r="C1382" s="1">
        <v>43688</v>
      </c>
      <c r="D1382">
        <v>2019</v>
      </c>
      <c r="E1382">
        <v>8</v>
      </c>
      <c r="F1382">
        <v>0</v>
      </c>
      <c r="G1382" t="s">
        <v>9</v>
      </c>
    </row>
    <row r="1383" spans="1:7" x14ac:dyDescent="0.25">
      <c r="A1383" t="s">
        <v>7</v>
      </c>
      <c r="B1383" t="s">
        <v>11</v>
      </c>
      <c r="C1383" s="1">
        <v>43696</v>
      </c>
      <c r="D1383">
        <v>2019</v>
      </c>
      <c r="E1383">
        <v>8</v>
      </c>
      <c r="F1383">
        <v>0.87366924800000001</v>
      </c>
      <c r="G1383" t="s">
        <v>9</v>
      </c>
    </row>
    <row r="1384" spans="1:7" x14ac:dyDescent="0.25">
      <c r="A1384" t="s">
        <v>7</v>
      </c>
      <c r="B1384" t="s">
        <v>11</v>
      </c>
      <c r="C1384" s="1">
        <v>43707</v>
      </c>
      <c r="D1384">
        <v>2019</v>
      </c>
      <c r="E1384">
        <v>8</v>
      </c>
      <c r="F1384">
        <v>3.4623515130000002</v>
      </c>
      <c r="G1384" t="s">
        <v>9</v>
      </c>
    </row>
    <row r="1385" spans="1:7" x14ac:dyDescent="0.25">
      <c r="A1385" t="s">
        <v>7</v>
      </c>
      <c r="B1385" t="s">
        <v>11</v>
      </c>
      <c r="C1385" s="1">
        <v>43708</v>
      </c>
      <c r="D1385">
        <v>2019</v>
      </c>
      <c r="E1385">
        <v>8</v>
      </c>
      <c r="F1385">
        <v>0</v>
      </c>
      <c r="G1385" t="s">
        <v>9</v>
      </c>
    </row>
    <row r="1386" spans="1:7" x14ac:dyDescent="0.25">
      <c r="A1386" t="s">
        <v>7</v>
      </c>
      <c r="B1386" t="s">
        <v>11</v>
      </c>
      <c r="C1386" s="1">
        <v>43706</v>
      </c>
      <c r="D1386">
        <v>2019</v>
      </c>
      <c r="E1386">
        <v>8</v>
      </c>
      <c r="F1386">
        <v>0</v>
      </c>
      <c r="G1386" t="s">
        <v>9</v>
      </c>
    </row>
    <row r="1387" spans="1:7" x14ac:dyDescent="0.25">
      <c r="A1387" t="s">
        <v>7</v>
      </c>
      <c r="B1387" t="s">
        <v>11</v>
      </c>
      <c r="C1387" s="1">
        <v>43709</v>
      </c>
      <c r="D1387">
        <v>2019</v>
      </c>
      <c r="E1387">
        <v>9</v>
      </c>
      <c r="F1387">
        <v>0</v>
      </c>
      <c r="G1387" t="s">
        <v>9</v>
      </c>
    </row>
    <row r="1388" spans="1:7" x14ac:dyDescent="0.25">
      <c r="A1388" t="s">
        <v>7</v>
      </c>
      <c r="B1388" t="s">
        <v>11</v>
      </c>
      <c r="C1388" s="1">
        <v>43722</v>
      </c>
      <c r="D1388">
        <v>2019</v>
      </c>
      <c r="E1388">
        <v>9</v>
      </c>
      <c r="F1388">
        <v>20.39150875</v>
      </c>
      <c r="G1388" t="s">
        <v>9</v>
      </c>
    </row>
    <row r="1389" spans="1:7" x14ac:dyDescent="0.25">
      <c r="A1389" t="s">
        <v>7</v>
      </c>
      <c r="B1389" t="s">
        <v>11</v>
      </c>
      <c r="C1389" s="1">
        <v>43724</v>
      </c>
      <c r="D1389">
        <v>2019</v>
      </c>
      <c r="E1389">
        <v>9</v>
      </c>
      <c r="F1389">
        <v>5.405868967</v>
      </c>
      <c r="G1389" t="s">
        <v>9</v>
      </c>
    </row>
    <row r="1390" spans="1:7" x14ac:dyDescent="0.25">
      <c r="A1390" t="s">
        <v>7</v>
      </c>
      <c r="B1390" t="s">
        <v>11</v>
      </c>
      <c r="C1390" s="1">
        <v>43727</v>
      </c>
      <c r="D1390">
        <v>2019</v>
      </c>
      <c r="E1390">
        <v>9</v>
      </c>
      <c r="F1390">
        <v>2.7000474999999999E-2</v>
      </c>
      <c r="G1390" t="s">
        <v>9</v>
      </c>
    </row>
    <row r="1391" spans="1:7" x14ac:dyDescent="0.25">
      <c r="A1391" t="s">
        <v>7</v>
      </c>
      <c r="B1391" t="s">
        <v>11</v>
      </c>
      <c r="C1391" s="1">
        <v>43732</v>
      </c>
      <c r="D1391">
        <v>2019</v>
      </c>
      <c r="E1391">
        <v>9</v>
      </c>
      <c r="F1391">
        <v>0.86894263100000002</v>
      </c>
      <c r="G1391" t="s">
        <v>9</v>
      </c>
    </row>
    <row r="1392" spans="1:7" x14ac:dyDescent="0.25">
      <c r="A1392" t="s">
        <v>7</v>
      </c>
      <c r="B1392" t="s">
        <v>11</v>
      </c>
      <c r="C1392" s="1">
        <v>43734</v>
      </c>
      <c r="D1392">
        <v>2019</v>
      </c>
      <c r="E1392">
        <v>9</v>
      </c>
      <c r="F1392">
        <v>25.531022060000002</v>
      </c>
      <c r="G1392" t="s">
        <v>9</v>
      </c>
    </row>
    <row r="1393" spans="1:7" x14ac:dyDescent="0.25">
      <c r="A1393" t="s">
        <v>7</v>
      </c>
      <c r="B1393" t="s">
        <v>11</v>
      </c>
      <c r="C1393" s="1">
        <v>43737</v>
      </c>
      <c r="D1393">
        <v>2019</v>
      </c>
      <c r="E1393">
        <v>9</v>
      </c>
      <c r="F1393">
        <v>0</v>
      </c>
      <c r="G1393" t="s">
        <v>9</v>
      </c>
    </row>
    <row r="1394" spans="1:7" x14ac:dyDescent="0.25">
      <c r="A1394" t="s">
        <v>7</v>
      </c>
      <c r="B1394" t="s">
        <v>11</v>
      </c>
      <c r="C1394" s="1">
        <v>43742</v>
      </c>
      <c r="D1394">
        <v>2019</v>
      </c>
      <c r="E1394">
        <v>10</v>
      </c>
      <c r="F1394">
        <v>0</v>
      </c>
      <c r="G1394" t="s">
        <v>9</v>
      </c>
    </row>
    <row r="1395" spans="1:7" x14ac:dyDescent="0.25">
      <c r="A1395" t="s">
        <v>7</v>
      </c>
      <c r="B1395" t="s">
        <v>11</v>
      </c>
      <c r="C1395" s="1">
        <v>43743</v>
      </c>
      <c r="D1395">
        <v>2019</v>
      </c>
      <c r="E1395">
        <v>10</v>
      </c>
      <c r="F1395">
        <v>0</v>
      </c>
      <c r="G1395" t="s">
        <v>9</v>
      </c>
    </row>
    <row r="1396" spans="1:7" x14ac:dyDescent="0.25">
      <c r="A1396" t="s">
        <v>7</v>
      </c>
      <c r="B1396" t="s">
        <v>11</v>
      </c>
      <c r="C1396" s="1">
        <v>43745</v>
      </c>
      <c r="D1396">
        <v>2019</v>
      </c>
      <c r="E1396">
        <v>10</v>
      </c>
      <c r="F1396">
        <v>1.4000245999999999E-2</v>
      </c>
      <c r="G1396" t="s">
        <v>9</v>
      </c>
    </row>
    <row r="1397" spans="1:7" x14ac:dyDescent="0.25">
      <c r="A1397" t="s">
        <v>7</v>
      </c>
      <c r="B1397" t="s">
        <v>11</v>
      </c>
      <c r="C1397" s="1">
        <v>43747</v>
      </c>
      <c r="D1397">
        <v>2019</v>
      </c>
      <c r="E1397">
        <v>10</v>
      </c>
      <c r="F1397">
        <v>0</v>
      </c>
      <c r="G1397" t="s">
        <v>9</v>
      </c>
    </row>
    <row r="1398" spans="1:7" x14ac:dyDescent="0.25">
      <c r="A1398" t="s">
        <v>7</v>
      </c>
      <c r="B1398" t="s">
        <v>11</v>
      </c>
      <c r="C1398" s="1">
        <v>43748</v>
      </c>
      <c r="D1398">
        <v>2019</v>
      </c>
      <c r="E1398">
        <v>10</v>
      </c>
      <c r="F1398">
        <v>0</v>
      </c>
      <c r="G1398" t="s">
        <v>9</v>
      </c>
    </row>
    <row r="1399" spans="1:7" x14ac:dyDescent="0.25">
      <c r="A1399" t="s">
        <v>7</v>
      </c>
      <c r="B1399" t="s">
        <v>11</v>
      </c>
      <c r="C1399" s="1">
        <v>43756</v>
      </c>
      <c r="D1399">
        <v>2019</v>
      </c>
      <c r="E1399">
        <v>10</v>
      </c>
      <c r="F1399">
        <v>6.5101001170000004</v>
      </c>
      <c r="G1399" t="s">
        <v>9</v>
      </c>
    </row>
    <row r="1400" spans="1:7" x14ac:dyDescent="0.25">
      <c r="A1400" t="s">
        <v>7</v>
      </c>
      <c r="B1400" t="s">
        <v>11</v>
      </c>
      <c r="C1400" s="1">
        <v>43757</v>
      </c>
      <c r="D1400">
        <v>2019</v>
      </c>
      <c r="E1400">
        <v>10</v>
      </c>
      <c r="F1400">
        <v>0.50924885099999995</v>
      </c>
      <c r="G1400" t="s">
        <v>9</v>
      </c>
    </row>
    <row r="1401" spans="1:7" x14ac:dyDescent="0.25">
      <c r="A1401" t="s">
        <v>7</v>
      </c>
      <c r="B1401" t="s">
        <v>11</v>
      </c>
      <c r="C1401" s="1">
        <v>43763</v>
      </c>
      <c r="D1401">
        <v>2019</v>
      </c>
      <c r="E1401">
        <v>10</v>
      </c>
      <c r="F1401">
        <v>1.1467514E-2</v>
      </c>
      <c r="G1401" t="s">
        <v>9</v>
      </c>
    </row>
    <row r="1402" spans="1:7" x14ac:dyDescent="0.25">
      <c r="A1402" t="s">
        <v>7</v>
      </c>
      <c r="B1402" t="s">
        <v>11</v>
      </c>
      <c r="C1402" s="1">
        <v>43766</v>
      </c>
      <c r="D1402">
        <v>2019</v>
      </c>
      <c r="E1402">
        <v>10</v>
      </c>
      <c r="F1402">
        <v>20.41266581</v>
      </c>
      <c r="G1402" t="s">
        <v>9</v>
      </c>
    </row>
    <row r="1403" spans="1:7" x14ac:dyDescent="0.25">
      <c r="A1403" t="s">
        <v>7</v>
      </c>
      <c r="B1403" t="s">
        <v>11</v>
      </c>
      <c r="C1403" s="1">
        <v>43769</v>
      </c>
      <c r="D1403">
        <v>2019</v>
      </c>
      <c r="E1403">
        <v>10</v>
      </c>
      <c r="F1403">
        <v>44.437446379999997</v>
      </c>
      <c r="G1403" t="s">
        <v>9</v>
      </c>
    </row>
    <row r="1404" spans="1:7" x14ac:dyDescent="0.25">
      <c r="A1404" t="s">
        <v>7</v>
      </c>
      <c r="B1404" t="s">
        <v>11</v>
      </c>
      <c r="C1404" s="1">
        <v>43774</v>
      </c>
      <c r="D1404">
        <v>2019</v>
      </c>
      <c r="E1404">
        <v>11</v>
      </c>
      <c r="F1404">
        <v>0</v>
      </c>
      <c r="G1404" t="s">
        <v>9</v>
      </c>
    </row>
    <row r="1405" spans="1:7" x14ac:dyDescent="0.25">
      <c r="A1405" t="s">
        <v>7</v>
      </c>
      <c r="B1405" t="s">
        <v>11</v>
      </c>
      <c r="C1405" s="1">
        <v>43775</v>
      </c>
      <c r="D1405">
        <v>2019</v>
      </c>
      <c r="E1405">
        <v>11</v>
      </c>
      <c r="F1405">
        <v>0</v>
      </c>
      <c r="G1405" t="s">
        <v>9</v>
      </c>
    </row>
    <row r="1406" spans="1:7" x14ac:dyDescent="0.25">
      <c r="A1406" t="s">
        <v>7</v>
      </c>
      <c r="B1406" t="s">
        <v>11</v>
      </c>
      <c r="C1406" s="1">
        <v>43776</v>
      </c>
      <c r="D1406">
        <v>2019</v>
      </c>
      <c r="E1406">
        <v>11</v>
      </c>
      <c r="F1406">
        <v>0</v>
      </c>
      <c r="G1406" t="s">
        <v>9</v>
      </c>
    </row>
    <row r="1407" spans="1:7" x14ac:dyDescent="0.25">
      <c r="A1407" t="s">
        <v>7</v>
      </c>
      <c r="B1407" t="s">
        <v>11</v>
      </c>
      <c r="C1407" s="1">
        <v>43779</v>
      </c>
      <c r="D1407">
        <v>2019</v>
      </c>
      <c r="E1407">
        <v>11</v>
      </c>
      <c r="F1407">
        <v>0</v>
      </c>
      <c r="G1407" t="s">
        <v>9</v>
      </c>
    </row>
    <row r="1408" spans="1:7" x14ac:dyDescent="0.25">
      <c r="A1408" t="s">
        <v>7</v>
      </c>
      <c r="B1408" t="s">
        <v>11</v>
      </c>
      <c r="C1408" s="1">
        <v>43790</v>
      </c>
      <c r="D1408">
        <v>2019</v>
      </c>
      <c r="E1408">
        <v>11</v>
      </c>
      <c r="F1408">
        <v>3.2683233920000001</v>
      </c>
      <c r="G1408" t="s">
        <v>9</v>
      </c>
    </row>
    <row r="1409" spans="1:7" x14ac:dyDescent="0.25">
      <c r="A1409" t="s">
        <v>7</v>
      </c>
      <c r="B1409" t="s">
        <v>11</v>
      </c>
      <c r="C1409" s="1">
        <v>43792</v>
      </c>
      <c r="D1409">
        <v>2019</v>
      </c>
      <c r="E1409">
        <v>11</v>
      </c>
      <c r="F1409">
        <v>32.895646560000003</v>
      </c>
      <c r="G1409" t="s">
        <v>9</v>
      </c>
    </row>
    <row r="1410" spans="1:7" x14ac:dyDescent="0.25">
      <c r="A1410" t="s">
        <v>7</v>
      </c>
      <c r="B1410" t="s">
        <v>11</v>
      </c>
      <c r="C1410" s="1">
        <v>43801</v>
      </c>
      <c r="D1410">
        <v>2019</v>
      </c>
      <c r="E1410">
        <v>12</v>
      </c>
      <c r="F1410">
        <v>5.3809617940000001</v>
      </c>
      <c r="G1410" t="s">
        <v>9</v>
      </c>
    </row>
    <row r="1411" spans="1:7" x14ac:dyDescent="0.25">
      <c r="A1411" t="s">
        <v>7</v>
      </c>
      <c r="B1411" t="s">
        <v>11</v>
      </c>
      <c r="C1411" s="1">
        <v>43803</v>
      </c>
      <c r="D1411">
        <v>2019</v>
      </c>
      <c r="E1411">
        <v>12</v>
      </c>
      <c r="F1411">
        <v>4.6243069769999998</v>
      </c>
      <c r="G1411" t="s">
        <v>9</v>
      </c>
    </row>
    <row r="1412" spans="1:7" x14ac:dyDescent="0.25">
      <c r="A1412" t="s">
        <v>7</v>
      </c>
      <c r="B1412" t="s">
        <v>11</v>
      </c>
      <c r="C1412" s="1">
        <v>43806</v>
      </c>
      <c r="D1412">
        <v>2019</v>
      </c>
      <c r="E1412">
        <v>12</v>
      </c>
      <c r="F1412">
        <v>8.4447106660000006</v>
      </c>
      <c r="G1412" t="s">
        <v>9</v>
      </c>
    </row>
    <row r="1413" spans="1:7" x14ac:dyDescent="0.25">
      <c r="A1413" t="s">
        <v>7</v>
      </c>
      <c r="B1413" t="s">
        <v>11</v>
      </c>
      <c r="C1413" s="1">
        <v>43810</v>
      </c>
      <c r="D1413">
        <v>2019</v>
      </c>
      <c r="E1413">
        <v>12</v>
      </c>
      <c r="F1413">
        <v>0</v>
      </c>
      <c r="G1413" t="s">
        <v>9</v>
      </c>
    </row>
    <row r="1414" spans="1:7" x14ac:dyDescent="0.25">
      <c r="A1414" t="s">
        <v>7</v>
      </c>
      <c r="B1414" t="s">
        <v>11</v>
      </c>
      <c r="C1414" s="1">
        <v>43812</v>
      </c>
      <c r="D1414">
        <v>2019</v>
      </c>
      <c r="E1414">
        <v>12</v>
      </c>
      <c r="F1414">
        <v>5.6936263110000001</v>
      </c>
      <c r="G1414" t="s">
        <v>9</v>
      </c>
    </row>
    <row r="1415" spans="1:7" x14ac:dyDescent="0.25">
      <c r="A1415" t="s">
        <v>7</v>
      </c>
      <c r="B1415" t="s">
        <v>11</v>
      </c>
      <c r="C1415" s="1">
        <v>43817</v>
      </c>
      <c r="D1415">
        <v>2019</v>
      </c>
      <c r="E1415">
        <v>12</v>
      </c>
      <c r="F1415">
        <v>0.57939752099999997</v>
      </c>
      <c r="G1415" t="s">
        <v>9</v>
      </c>
    </row>
    <row r="1416" spans="1:7" x14ac:dyDescent="0.25">
      <c r="A1416" t="s">
        <v>7</v>
      </c>
      <c r="B1416" t="s">
        <v>11</v>
      </c>
      <c r="C1416" s="1">
        <v>43819</v>
      </c>
      <c r="D1416">
        <v>2019</v>
      </c>
      <c r="E1416">
        <v>12</v>
      </c>
      <c r="F1416">
        <v>1.7469912519999999</v>
      </c>
      <c r="G1416" t="s">
        <v>9</v>
      </c>
    </row>
    <row r="1417" spans="1:7" x14ac:dyDescent="0.25">
      <c r="A1417" t="s">
        <v>7</v>
      </c>
      <c r="B1417" t="s">
        <v>11</v>
      </c>
      <c r="C1417" s="1">
        <v>43820</v>
      </c>
      <c r="D1417">
        <v>2019</v>
      </c>
      <c r="E1417">
        <v>12</v>
      </c>
      <c r="F1417">
        <v>0.17268593800000001</v>
      </c>
      <c r="G1417" t="s">
        <v>9</v>
      </c>
    </row>
    <row r="1418" spans="1:7" x14ac:dyDescent="0.25">
      <c r="A1418" t="s">
        <v>7</v>
      </c>
      <c r="B1418" t="s">
        <v>11</v>
      </c>
      <c r="C1418" s="1">
        <v>43827</v>
      </c>
      <c r="D1418">
        <v>2019</v>
      </c>
      <c r="E1418">
        <v>12</v>
      </c>
      <c r="F1418">
        <v>0</v>
      </c>
      <c r="G1418" t="s">
        <v>9</v>
      </c>
    </row>
    <row r="1419" spans="1:7" x14ac:dyDescent="0.25">
      <c r="A1419" t="s">
        <v>7</v>
      </c>
      <c r="B1419" t="s">
        <v>12</v>
      </c>
      <c r="C1419" s="1">
        <v>43473</v>
      </c>
      <c r="D1419">
        <v>2019</v>
      </c>
      <c r="E1419">
        <v>1</v>
      </c>
      <c r="F1419">
        <v>0</v>
      </c>
      <c r="G1419" t="s">
        <v>9</v>
      </c>
    </row>
    <row r="1420" spans="1:7" x14ac:dyDescent="0.25">
      <c r="A1420" t="s">
        <v>7</v>
      </c>
      <c r="B1420" t="s">
        <v>12</v>
      </c>
      <c r="C1420" s="1">
        <v>43476</v>
      </c>
      <c r="D1420">
        <v>2019</v>
      </c>
      <c r="E1420">
        <v>1</v>
      </c>
      <c r="F1420">
        <v>0</v>
      </c>
      <c r="G1420" t="s">
        <v>9</v>
      </c>
    </row>
    <row r="1421" spans="1:7" x14ac:dyDescent="0.25">
      <c r="A1421" t="s">
        <v>7</v>
      </c>
      <c r="B1421" t="s">
        <v>12</v>
      </c>
      <c r="C1421" s="1">
        <v>43482</v>
      </c>
      <c r="D1421">
        <v>2019</v>
      </c>
      <c r="E1421">
        <v>1</v>
      </c>
      <c r="F1421">
        <v>0</v>
      </c>
      <c r="G1421" t="s">
        <v>9</v>
      </c>
    </row>
    <row r="1422" spans="1:7" x14ac:dyDescent="0.25">
      <c r="A1422" t="s">
        <v>7</v>
      </c>
      <c r="B1422" t="s">
        <v>12</v>
      </c>
      <c r="C1422" s="1">
        <v>43483</v>
      </c>
      <c r="D1422">
        <v>2019</v>
      </c>
      <c r="E1422">
        <v>1</v>
      </c>
      <c r="F1422">
        <v>0</v>
      </c>
      <c r="G1422" t="s">
        <v>9</v>
      </c>
    </row>
    <row r="1423" spans="1:7" x14ac:dyDescent="0.25">
      <c r="A1423" t="s">
        <v>7</v>
      </c>
      <c r="B1423" t="s">
        <v>12</v>
      </c>
      <c r="C1423" s="1">
        <v>43488</v>
      </c>
      <c r="D1423">
        <v>2019</v>
      </c>
      <c r="E1423">
        <v>1</v>
      </c>
      <c r="F1423">
        <v>0</v>
      </c>
      <c r="G1423" t="s">
        <v>9</v>
      </c>
    </row>
    <row r="1424" spans="1:7" x14ac:dyDescent="0.25">
      <c r="A1424" t="s">
        <v>7</v>
      </c>
      <c r="B1424" t="s">
        <v>12</v>
      </c>
      <c r="C1424" s="1">
        <v>43491</v>
      </c>
      <c r="D1424">
        <v>2019</v>
      </c>
      <c r="E1424">
        <v>1</v>
      </c>
      <c r="F1424">
        <v>0</v>
      </c>
      <c r="G1424" t="s">
        <v>9</v>
      </c>
    </row>
    <row r="1425" spans="1:7" x14ac:dyDescent="0.25">
      <c r="A1425" t="s">
        <v>7</v>
      </c>
      <c r="B1425" t="s">
        <v>12</v>
      </c>
      <c r="C1425" s="1">
        <v>43495</v>
      </c>
      <c r="D1425">
        <v>2019</v>
      </c>
      <c r="E1425">
        <v>1</v>
      </c>
      <c r="F1425">
        <v>0</v>
      </c>
      <c r="G1425" t="s">
        <v>9</v>
      </c>
    </row>
    <row r="1426" spans="1:7" x14ac:dyDescent="0.25">
      <c r="A1426" t="s">
        <v>7</v>
      </c>
      <c r="B1426" t="s">
        <v>12</v>
      </c>
      <c r="C1426" s="1">
        <v>43505</v>
      </c>
      <c r="D1426">
        <v>2019</v>
      </c>
      <c r="E1426">
        <v>2</v>
      </c>
      <c r="F1426">
        <v>0</v>
      </c>
      <c r="G1426" t="s">
        <v>9</v>
      </c>
    </row>
    <row r="1427" spans="1:7" x14ac:dyDescent="0.25">
      <c r="A1427" t="s">
        <v>7</v>
      </c>
      <c r="B1427" t="s">
        <v>12</v>
      </c>
      <c r="C1427" s="1">
        <v>43506</v>
      </c>
      <c r="D1427">
        <v>2019</v>
      </c>
      <c r="E1427">
        <v>2</v>
      </c>
      <c r="F1427">
        <v>0</v>
      </c>
      <c r="G1427" t="s">
        <v>9</v>
      </c>
    </row>
    <row r="1428" spans="1:7" x14ac:dyDescent="0.25">
      <c r="A1428" t="s">
        <v>7</v>
      </c>
      <c r="B1428" t="s">
        <v>12</v>
      </c>
      <c r="C1428" s="1">
        <v>43510</v>
      </c>
      <c r="D1428">
        <v>2019</v>
      </c>
      <c r="E1428">
        <v>2</v>
      </c>
      <c r="F1428">
        <v>0</v>
      </c>
      <c r="G1428" t="s">
        <v>9</v>
      </c>
    </row>
    <row r="1429" spans="1:7" x14ac:dyDescent="0.25">
      <c r="A1429" t="s">
        <v>7</v>
      </c>
      <c r="B1429" t="s">
        <v>12</v>
      </c>
      <c r="C1429" s="1">
        <v>43517</v>
      </c>
      <c r="D1429">
        <v>2019</v>
      </c>
      <c r="E1429">
        <v>2</v>
      </c>
      <c r="F1429">
        <v>0</v>
      </c>
      <c r="G1429" t="s">
        <v>9</v>
      </c>
    </row>
    <row r="1430" spans="1:7" x14ac:dyDescent="0.25">
      <c r="A1430" t="s">
        <v>7</v>
      </c>
      <c r="B1430" t="s">
        <v>12</v>
      </c>
      <c r="C1430" s="1">
        <v>43531</v>
      </c>
      <c r="D1430">
        <v>2019</v>
      </c>
      <c r="E1430">
        <v>3</v>
      </c>
      <c r="F1430">
        <v>0</v>
      </c>
      <c r="G1430" t="s">
        <v>9</v>
      </c>
    </row>
    <row r="1431" spans="1:7" x14ac:dyDescent="0.25">
      <c r="A1431" t="s">
        <v>7</v>
      </c>
      <c r="B1431" t="s">
        <v>12</v>
      </c>
      <c r="C1431" s="1">
        <v>43535</v>
      </c>
      <c r="D1431">
        <v>2019</v>
      </c>
      <c r="E1431">
        <v>3</v>
      </c>
      <c r="F1431">
        <v>0</v>
      </c>
      <c r="G1431" t="s">
        <v>9</v>
      </c>
    </row>
    <row r="1432" spans="1:7" x14ac:dyDescent="0.25">
      <c r="A1432" t="s">
        <v>7</v>
      </c>
      <c r="B1432" t="s">
        <v>12</v>
      </c>
      <c r="C1432" s="1">
        <v>43542</v>
      </c>
      <c r="D1432">
        <v>2019</v>
      </c>
      <c r="E1432">
        <v>3</v>
      </c>
      <c r="F1432">
        <v>0</v>
      </c>
      <c r="G1432" t="s">
        <v>9</v>
      </c>
    </row>
    <row r="1433" spans="1:7" x14ac:dyDescent="0.25">
      <c r="A1433" t="s">
        <v>7</v>
      </c>
      <c r="B1433" t="s">
        <v>12</v>
      </c>
      <c r="C1433" s="1">
        <v>43547</v>
      </c>
      <c r="D1433">
        <v>2019</v>
      </c>
      <c r="E1433">
        <v>3</v>
      </c>
      <c r="F1433">
        <v>0</v>
      </c>
      <c r="G1433" t="s">
        <v>9</v>
      </c>
    </row>
    <row r="1434" spans="1:7" x14ac:dyDescent="0.25">
      <c r="A1434" t="s">
        <v>7</v>
      </c>
      <c r="B1434" t="s">
        <v>12</v>
      </c>
      <c r="C1434" s="1">
        <v>43549</v>
      </c>
      <c r="D1434">
        <v>2019</v>
      </c>
      <c r="E1434">
        <v>3</v>
      </c>
      <c r="F1434">
        <v>0</v>
      </c>
      <c r="G1434" t="s">
        <v>9</v>
      </c>
    </row>
    <row r="1435" spans="1:7" x14ac:dyDescent="0.25">
      <c r="A1435" t="s">
        <v>7</v>
      </c>
      <c r="B1435" t="s">
        <v>12</v>
      </c>
      <c r="C1435" s="1">
        <v>43548</v>
      </c>
      <c r="D1435">
        <v>2019</v>
      </c>
      <c r="E1435">
        <v>3</v>
      </c>
      <c r="F1435">
        <v>0</v>
      </c>
      <c r="G1435" t="s">
        <v>9</v>
      </c>
    </row>
    <row r="1436" spans="1:7" x14ac:dyDescent="0.25">
      <c r="A1436" t="s">
        <v>7</v>
      </c>
      <c r="B1436" t="s">
        <v>12</v>
      </c>
      <c r="C1436" s="1">
        <v>43552</v>
      </c>
      <c r="D1436">
        <v>2019</v>
      </c>
      <c r="E1436">
        <v>3</v>
      </c>
      <c r="F1436">
        <v>0</v>
      </c>
      <c r="G1436" t="s">
        <v>9</v>
      </c>
    </row>
    <row r="1437" spans="1:7" x14ac:dyDescent="0.25">
      <c r="A1437" t="s">
        <v>7</v>
      </c>
      <c r="B1437" t="s">
        <v>12</v>
      </c>
      <c r="C1437" s="1">
        <v>43553</v>
      </c>
      <c r="D1437">
        <v>2019</v>
      </c>
      <c r="E1437">
        <v>3</v>
      </c>
      <c r="F1437">
        <v>0</v>
      </c>
      <c r="G1437" t="s">
        <v>9</v>
      </c>
    </row>
    <row r="1438" spans="1:7" x14ac:dyDescent="0.25">
      <c r="A1438" t="s">
        <v>7</v>
      </c>
      <c r="B1438" t="s">
        <v>12</v>
      </c>
      <c r="C1438" s="1">
        <v>43555</v>
      </c>
      <c r="D1438">
        <v>2019</v>
      </c>
      <c r="E1438">
        <v>3</v>
      </c>
      <c r="F1438">
        <v>0</v>
      </c>
      <c r="G1438" t="s">
        <v>9</v>
      </c>
    </row>
    <row r="1439" spans="1:7" x14ac:dyDescent="0.25">
      <c r="A1439" t="s">
        <v>7</v>
      </c>
      <c r="B1439" t="s">
        <v>12</v>
      </c>
      <c r="C1439" s="1">
        <v>43560</v>
      </c>
      <c r="D1439">
        <v>2019</v>
      </c>
      <c r="E1439">
        <v>4</v>
      </c>
      <c r="F1439">
        <v>0</v>
      </c>
      <c r="G1439" t="s">
        <v>9</v>
      </c>
    </row>
    <row r="1440" spans="1:7" x14ac:dyDescent="0.25">
      <c r="A1440" t="s">
        <v>7</v>
      </c>
      <c r="B1440" t="s">
        <v>12</v>
      </c>
      <c r="C1440" s="1">
        <v>43565</v>
      </c>
      <c r="D1440">
        <v>2019</v>
      </c>
      <c r="E1440">
        <v>4</v>
      </c>
      <c r="F1440">
        <v>0</v>
      </c>
      <c r="G1440" t="s">
        <v>9</v>
      </c>
    </row>
    <row r="1441" spans="1:7" x14ac:dyDescent="0.25">
      <c r="A1441" t="s">
        <v>7</v>
      </c>
      <c r="B1441" t="s">
        <v>12</v>
      </c>
      <c r="C1441" s="1">
        <v>43576</v>
      </c>
      <c r="D1441">
        <v>2019</v>
      </c>
      <c r="E1441">
        <v>4</v>
      </c>
      <c r="F1441">
        <v>0.17039738600000001</v>
      </c>
      <c r="G1441" t="s">
        <v>9</v>
      </c>
    </row>
    <row r="1442" spans="1:7" x14ac:dyDescent="0.25">
      <c r="A1442" t="s">
        <v>7</v>
      </c>
      <c r="B1442" t="s">
        <v>12</v>
      </c>
      <c r="C1442" s="1">
        <v>43580</v>
      </c>
      <c r="D1442">
        <v>2019</v>
      </c>
      <c r="E1442">
        <v>4</v>
      </c>
      <c r="F1442">
        <v>0.127798036</v>
      </c>
      <c r="G1442" t="s">
        <v>9</v>
      </c>
    </row>
    <row r="1443" spans="1:7" x14ac:dyDescent="0.25">
      <c r="A1443" t="s">
        <v>7</v>
      </c>
      <c r="B1443" t="s">
        <v>12</v>
      </c>
      <c r="C1443" s="1">
        <v>43585</v>
      </c>
      <c r="D1443">
        <v>2019</v>
      </c>
      <c r="E1443">
        <v>4</v>
      </c>
      <c r="F1443">
        <v>11.4802084</v>
      </c>
      <c r="G1443" t="s">
        <v>9</v>
      </c>
    </row>
    <row r="1444" spans="1:7" x14ac:dyDescent="0.25">
      <c r="A1444" t="s">
        <v>7</v>
      </c>
      <c r="B1444" t="s">
        <v>12</v>
      </c>
      <c r="C1444" s="1">
        <v>43587</v>
      </c>
      <c r="D1444">
        <v>2019</v>
      </c>
      <c r="E1444">
        <v>5</v>
      </c>
      <c r="F1444">
        <v>11.611200330000001</v>
      </c>
      <c r="G1444" t="s">
        <v>9</v>
      </c>
    </row>
    <row r="1445" spans="1:7" x14ac:dyDescent="0.25">
      <c r="A1445" t="s">
        <v>7</v>
      </c>
      <c r="B1445" t="s">
        <v>12</v>
      </c>
      <c r="C1445" s="1">
        <v>43588</v>
      </c>
      <c r="D1445">
        <v>2019</v>
      </c>
      <c r="E1445">
        <v>5</v>
      </c>
      <c r="F1445">
        <v>0</v>
      </c>
      <c r="G1445" t="s">
        <v>9</v>
      </c>
    </row>
    <row r="1446" spans="1:7" x14ac:dyDescent="0.25">
      <c r="A1446" t="s">
        <v>7</v>
      </c>
      <c r="B1446" t="s">
        <v>12</v>
      </c>
      <c r="C1446" s="1">
        <v>43596</v>
      </c>
      <c r="D1446">
        <v>2019</v>
      </c>
      <c r="E1446">
        <v>5</v>
      </c>
      <c r="F1446">
        <v>0</v>
      </c>
      <c r="G1446" t="s">
        <v>9</v>
      </c>
    </row>
    <row r="1447" spans="1:7" x14ac:dyDescent="0.25">
      <c r="A1447" t="s">
        <v>7</v>
      </c>
      <c r="B1447" t="s">
        <v>12</v>
      </c>
      <c r="C1447" s="1">
        <v>43598</v>
      </c>
      <c r="D1447">
        <v>2019</v>
      </c>
      <c r="E1447">
        <v>5</v>
      </c>
      <c r="F1447">
        <v>0</v>
      </c>
      <c r="G1447" t="s">
        <v>9</v>
      </c>
    </row>
    <row r="1448" spans="1:7" x14ac:dyDescent="0.25">
      <c r="A1448" t="s">
        <v>7</v>
      </c>
      <c r="B1448" t="s">
        <v>12</v>
      </c>
      <c r="C1448" s="1">
        <v>43608</v>
      </c>
      <c r="D1448">
        <v>2019</v>
      </c>
      <c r="E1448">
        <v>5</v>
      </c>
      <c r="F1448">
        <v>0</v>
      </c>
      <c r="G1448" t="s">
        <v>9</v>
      </c>
    </row>
    <row r="1449" spans="1:7" x14ac:dyDescent="0.25">
      <c r="A1449" t="s">
        <v>7</v>
      </c>
      <c r="B1449" t="s">
        <v>12</v>
      </c>
      <c r="C1449" s="1">
        <v>43616</v>
      </c>
      <c r="D1449">
        <v>2019</v>
      </c>
      <c r="E1449">
        <v>5</v>
      </c>
      <c r="F1449">
        <v>0</v>
      </c>
      <c r="G1449" t="s">
        <v>9</v>
      </c>
    </row>
    <row r="1450" spans="1:7" x14ac:dyDescent="0.25">
      <c r="A1450" t="s">
        <v>7</v>
      </c>
      <c r="B1450" t="s">
        <v>12</v>
      </c>
      <c r="C1450" s="1">
        <v>43626</v>
      </c>
      <c r="D1450">
        <v>2019</v>
      </c>
      <c r="E1450">
        <v>6</v>
      </c>
      <c r="F1450">
        <v>16.07901382</v>
      </c>
      <c r="G1450" t="s">
        <v>9</v>
      </c>
    </row>
    <row r="1451" spans="1:7" x14ac:dyDescent="0.25">
      <c r="A1451" t="s">
        <v>7</v>
      </c>
      <c r="B1451" t="s">
        <v>12</v>
      </c>
      <c r="C1451" s="1">
        <v>43629</v>
      </c>
      <c r="D1451">
        <v>2019</v>
      </c>
      <c r="E1451">
        <v>6</v>
      </c>
      <c r="F1451">
        <v>31.161777499999999</v>
      </c>
      <c r="G1451" t="s">
        <v>9</v>
      </c>
    </row>
    <row r="1452" spans="1:7" x14ac:dyDescent="0.25">
      <c r="A1452" t="s">
        <v>7</v>
      </c>
      <c r="B1452" t="s">
        <v>12</v>
      </c>
      <c r="C1452" s="1">
        <v>43644</v>
      </c>
      <c r="D1452">
        <v>2019</v>
      </c>
      <c r="E1452">
        <v>6</v>
      </c>
      <c r="F1452">
        <v>1.9178904290000001</v>
      </c>
      <c r="G1452" t="s">
        <v>9</v>
      </c>
    </row>
    <row r="1453" spans="1:7" x14ac:dyDescent="0.25">
      <c r="A1453" t="s">
        <v>7</v>
      </c>
      <c r="B1453" t="s">
        <v>12</v>
      </c>
      <c r="C1453" s="1">
        <v>43647</v>
      </c>
      <c r="D1453">
        <v>2019</v>
      </c>
      <c r="E1453">
        <v>7</v>
      </c>
      <c r="F1453">
        <v>2.1087105269999999</v>
      </c>
      <c r="G1453" t="s">
        <v>9</v>
      </c>
    </row>
    <row r="1454" spans="1:7" x14ac:dyDescent="0.25">
      <c r="A1454" t="s">
        <v>7</v>
      </c>
      <c r="B1454" t="s">
        <v>12</v>
      </c>
      <c r="C1454" s="1">
        <v>43650</v>
      </c>
      <c r="D1454">
        <v>2019</v>
      </c>
      <c r="E1454">
        <v>7</v>
      </c>
      <c r="F1454">
        <v>9.5689859389999992</v>
      </c>
      <c r="G1454" t="s">
        <v>9</v>
      </c>
    </row>
    <row r="1455" spans="1:7" x14ac:dyDescent="0.25">
      <c r="A1455" t="s">
        <v>7</v>
      </c>
      <c r="B1455" t="s">
        <v>12</v>
      </c>
      <c r="C1455" s="1">
        <v>43654</v>
      </c>
      <c r="D1455">
        <v>2019</v>
      </c>
      <c r="E1455">
        <v>7</v>
      </c>
      <c r="F1455">
        <v>16.661830899999998</v>
      </c>
      <c r="G1455" t="s">
        <v>9</v>
      </c>
    </row>
    <row r="1456" spans="1:7" x14ac:dyDescent="0.25">
      <c r="A1456" t="s">
        <v>7</v>
      </c>
      <c r="B1456" t="s">
        <v>12</v>
      </c>
      <c r="C1456" s="1">
        <v>43655</v>
      </c>
      <c r="D1456">
        <v>2019</v>
      </c>
      <c r="E1456">
        <v>7</v>
      </c>
      <c r="F1456">
        <v>46.940792080000001</v>
      </c>
      <c r="G1456" t="s">
        <v>9</v>
      </c>
    </row>
    <row r="1457" spans="1:7" x14ac:dyDescent="0.25">
      <c r="A1457" t="s">
        <v>7</v>
      </c>
      <c r="B1457" t="s">
        <v>12</v>
      </c>
      <c r="C1457" s="1">
        <v>43669</v>
      </c>
      <c r="D1457">
        <v>2019</v>
      </c>
      <c r="E1457">
        <v>7</v>
      </c>
      <c r="F1457">
        <v>106.11170199999999</v>
      </c>
      <c r="G1457" t="s">
        <v>9</v>
      </c>
    </row>
    <row r="1458" spans="1:7" x14ac:dyDescent="0.25">
      <c r="A1458" t="s">
        <v>7</v>
      </c>
      <c r="B1458" t="s">
        <v>12</v>
      </c>
      <c r="C1458" s="1">
        <v>43677</v>
      </c>
      <c r="D1458">
        <v>2019</v>
      </c>
      <c r="E1458">
        <v>7</v>
      </c>
      <c r="F1458">
        <v>8.4449815749999999</v>
      </c>
      <c r="G1458" t="s">
        <v>9</v>
      </c>
    </row>
    <row r="1459" spans="1:7" x14ac:dyDescent="0.25">
      <c r="A1459" t="s">
        <v>7</v>
      </c>
      <c r="B1459" t="s">
        <v>12</v>
      </c>
      <c r="C1459" s="1">
        <v>43685</v>
      </c>
      <c r="D1459">
        <v>2019</v>
      </c>
      <c r="E1459">
        <v>8</v>
      </c>
      <c r="F1459">
        <v>70.52516937</v>
      </c>
      <c r="G1459" t="s">
        <v>9</v>
      </c>
    </row>
    <row r="1460" spans="1:7" x14ac:dyDescent="0.25">
      <c r="A1460" t="s">
        <v>7</v>
      </c>
      <c r="B1460" t="s">
        <v>12</v>
      </c>
      <c r="C1460" s="1">
        <v>43689</v>
      </c>
      <c r="D1460">
        <v>2019</v>
      </c>
      <c r="E1460">
        <v>8</v>
      </c>
      <c r="F1460">
        <v>12.283864019999999</v>
      </c>
      <c r="G1460" t="s">
        <v>9</v>
      </c>
    </row>
    <row r="1461" spans="1:7" x14ac:dyDescent="0.25">
      <c r="A1461" t="s">
        <v>7</v>
      </c>
      <c r="B1461" t="s">
        <v>12</v>
      </c>
      <c r="C1461" s="1">
        <v>43694</v>
      </c>
      <c r="D1461">
        <v>2019</v>
      </c>
      <c r="E1461">
        <v>8</v>
      </c>
      <c r="F1461">
        <v>4.8954901700000004</v>
      </c>
      <c r="G1461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153F-1D6E-4726-96A0-84244A4F858C}">
  <dimension ref="A1:V37"/>
  <sheetViews>
    <sheetView topLeftCell="A17" workbookViewId="0">
      <selection activeCell="H36" sqref="H36"/>
    </sheetView>
  </sheetViews>
  <sheetFormatPr defaultRowHeight="15" x14ac:dyDescent="0.25"/>
  <sheetData>
    <row r="1" spans="1:22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</row>
    <row r="2" spans="1:22" x14ac:dyDescent="0.25">
      <c r="A2">
        <v>1</v>
      </c>
      <c r="B2" t="s">
        <v>35</v>
      </c>
      <c r="C2">
        <v>62</v>
      </c>
      <c r="D2">
        <v>32</v>
      </c>
      <c r="E2">
        <v>56</v>
      </c>
      <c r="F2">
        <v>87</v>
      </c>
      <c r="G2">
        <v>71</v>
      </c>
      <c r="H2">
        <v>141</v>
      </c>
      <c r="I2">
        <v>449</v>
      </c>
      <c r="J2">
        <v>90</v>
      </c>
      <c r="K2">
        <v>81</v>
      </c>
      <c r="L2">
        <v>77</v>
      </c>
      <c r="M2">
        <v>46</v>
      </c>
      <c r="N2">
        <v>69</v>
      </c>
      <c r="O2">
        <v>285</v>
      </c>
      <c r="P2">
        <v>928</v>
      </c>
      <c r="Q2">
        <v>1162</v>
      </c>
      <c r="R2">
        <v>576</v>
      </c>
      <c r="S2">
        <v>348</v>
      </c>
      <c r="T2">
        <v>199</v>
      </c>
      <c r="U2">
        <v>150</v>
      </c>
      <c r="V2">
        <v>4011</v>
      </c>
    </row>
    <row r="3" spans="1:22" x14ac:dyDescent="0.25">
      <c r="A3">
        <v>2</v>
      </c>
      <c r="B3" t="s">
        <v>36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</row>
    <row r="4" spans="1:22" x14ac:dyDescent="0.25">
      <c r="A4">
        <v>3</v>
      </c>
      <c r="B4" t="s">
        <v>37</v>
      </c>
      <c r="C4">
        <v>0</v>
      </c>
      <c r="D4">
        <v>4</v>
      </c>
      <c r="E4">
        <v>4</v>
      </c>
      <c r="F4">
        <v>3</v>
      </c>
      <c r="G4">
        <v>3</v>
      </c>
      <c r="H4">
        <v>3</v>
      </c>
      <c r="I4">
        <v>17</v>
      </c>
      <c r="J4">
        <v>2</v>
      </c>
      <c r="K4">
        <v>1</v>
      </c>
      <c r="L4">
        <v>2</v>
      </c>
      <c r="M4">
        <v>2</v>
      </c>
      <c r="N4">
        <v>3</v>
      </c>
      <c r="O4">
        <v>20</v>
      </c>
      <c r="P4">
        <v>17</v>
      </c>
      <c r="Q4">
        <v>10</v>
      </c>
      <c r="R4">
        <v>20</v>
      </c>
      <c r="S4">
        <v>30</v>
      </c>
      <c r="T4">
        <v>56</v>
      </c>
      <c r="U4">
        <v>3</v>
      </c>
      <c r="V4">
        <v>166</v>
      </c>
    </row>
    <row r="5" spans="1:22" x14ac:dyDescent="0.25">
      <c r="A5">
        <v>4</v>
      </c>
      <c r="B5" t="s">
        <v>38</v>
      </c>
      <c r="C5">
        <v>0</v>
      </c>
      <c r="D5">
        <v>0</v>
      </c>
      <c r="E5">
        <v>0</v>
      </c>
      <c r="F5">
        <v>0</v>
      </c>
      <c r="G5">
        <v>3</v>
      </c>
      <c r="H5">
        <v>2</v>
      </c>
      <c r="I5">
        <v>5</v>
      </c>
      <c r="J5">
        <v>2</v>
      </c>
      <c r="K5">
        <v>0</v>
      </c>
      <c r="L5">
        <v>0</v>
      </c>
      <c r="M5">
        <v>0</v>
      </c>
      <c r="N5">
        <v>0</v>
      </c>
      <c r="O5">
        <v>3</v>
      </c>
      <c r="P5">
        <v>3</v>
      </c>
      <c r="Q5">
        <v>45</v>
      </c>
      <c r="R5">
        <v>166</v>
      </c>
      <c r="S5">
        <v>841</v>
      </c>
      <c r="T5">
        <v>1028</v>
      </c>
      <c r="U5">
        <v>54</v>
      </c>
      <c r="V5">
        <v>2142</v>
      </c>
    </row>
    <row r="6" spans="1:22" x14ac:dyDescent="0.25">
      <c r="A6">
        <v>5</v>
      </c>
      <c r="B6" t="s">
        <v>39</v>
      </c>
      <c r="C6">
        <v>18</v>
      </c>
      <c r="D6">
        <v>23</v>
      </c>
      <c r="E6">
        <v>12</v>
      </c>
      <c r="F6">
        <v>5</v>
      </c>
      <c r="G6">
        <v>30</v>
      </c>
      <c r="H6">
        <v>8</v>
      </c>
      <c r="I6">
        <v>96</v>
      </c>
      <c r="J6">
        <v>3</v>
      </c>
      <c r="K6">
        <v>4</v>
      </c>
      <c r="L6">
        <v>1</v>
      </c>
      <c r="M6">
        <v>0</v>
      </c>
      <c r="N6">
        <v>3</v>
      </c>
      <c r="O6">
        <v>7</v>
      </c>
      <c r="P6">
        <v>170</v>
      </c>
      <c r="Q6">
        <v>587</v>
      </c>
      <c r="R6">
        <v>1200</v>
      </c>
      <c r="S6">
        <v>465</v>
      </c>
      <c r="T6">
        <v>189</v>
      </c>
      <c r="U6">
        <v>45</v>
      </c>
      <c r="V6">
        <v>2674</v>
      </c>
    </row>
    <row r="7" spans="1:22" x14ac:dyDescent="0.25">
      <c r="A7">
        <v>6</v>
      </c>
      <c r="B7" t="s">
        <v>40</v>
      </c>
      <c r="C7">
        <v>16</v>
      </c>
      <c r="D7">
        <v>7</v>
      </c>
      <c r="E7">
        <v>8</v>
      </c>
      <c r="F7">
        <v>9</v>
      </c>
      <c r="G7">
        <v>6</v>
      </c>
      <c r="H7">
        <v>47</v>
      </c>
      <c r="I7">
        <v>93</v>
      </c>
      <c r="J7">
        <v>20</v>
      </c>
      <c r="K7">
        <v>8</v>
      </c>
      <c r="L7">
        <v>11</v>
      </c>
      <c r="M7">
        <v>7</v>
      </c>
      <c r="N7">
        <v>10</v>
      </c>
      <c r="O7">
        <v>68</v>
      </c>
      <c r="P7">
        <v>71</v>
      </c>
      <c r="Q7">
        <v>41</v>
      </c>
      <c r="R7">
        <v>36</v>
      </c>
      <c r="S7">
        <v>31</v>
      </c>
      <c r="T7">
        <v>19</v>
      </c>
      <c r="U7">
        <v>13</v>
      </c>
      <c r="V7">
        <v>335</v>
      </c>
    </row>
    <row r="8" spans="1:22" x14ac:dyDescent="0.25">
      <c r="A8">
        <v>7</v>
      </c>
      <c r="B8" t="s">
        <v>41</v>
      </c>
      <c r="C8">
        <v>111</v>
      </c>
      <c r="D8">
        <v>55</v>
      </c>
      <c r="E8">
        <v>59</v>
      </c>
      <c r="F8">
        <v>39</v>
      </c>
      <c r="G8">
        <v>76</v>
      </c>
      <c r="H8">
        <v>54</v>
      </c>
      <c r="I8">
        <v>394</v>
      </c>
      <c r="J8">
        <v>141</v>
      </c>
      <c r="K8">
        <v>102</v>
      </c>
      <c r="L8">
        <v>89</v>
      </c>
      <c r="M8">
        <v>72</v>
      </c>
      <c r="N8">
        <v>100</v>
      </c>
      <c r="O8">
        <v>76</v>
      </c>
      <c r="P8">
        <v>196</v>
      </c>
      <c r="Q8">
        <v>583</v>
      </c>
      <c r="R8">
        <v>1518</v>
      </c>
      <c r="S8">
        <v>2854</v>
      </c>
      <c r="T8">
        <v>1347</v>
      </c>
      <c r="U8">
        <v>501</v>
      </c>
      <c r="V8">
        <v>7579</v>
      </c>
    </row>
    <row r="9" spans="1:22" x14ac:dyDescent="0.25">
      <c r="A9">
        <v>8</v>
      </c>
      <c r="B9" t="s">
        <v>42</v>
      </c>
      <c r="C9">
        <v>0</v>
      </c>
      <c r="D9">
        <v>0</v>
      </c>
      <c r="E9">
        <v>0</v>
      </c>
      <c r="F9">
        <v>0</v>
      </c>
      <c r="G9">
        <v>2</v>
      </c>
      <c r="H9">
        <v>1</v>
      </c>
      <c r="I9">
        <v>3</v>
      </c>
      <c r="J9">
        <v>0</v>
      </c>
      <c r="K9">
        <v>0</v>
      </c>
      <c r="L9">
        <v>0</v>
      </c>
      <c r="M9">
        <v>3</v>
      </c>
      <c r="N9">
        <v>2</v>
      </c>
      <c r="O9">
        <v>2</v>
      </c>
      <c r="P9">
        <v>9</v>
      </c>
      <c r="Q9">
        <v>40</v>
      </c>
      <c r="R9">
        <v>245</v>
      </c>
      <c r="S9">
        <v>768</v>
      </c>
      <c r="T9">
        <v>685</v>
      </c>
      <c r="U9">
        <v>144</v>
      </c>
      <c r="V9">
        <v>1898</v>
      </c>
    </row>
    <row r="10" spans="1:22" x14ac:dyDescent="0.25">
      <c r="A10">
        <v>9</v>
      </c>
      <c r="B10" t="s">
        <v>43</v>
      </c>
      <c r="C10">
        <v>5</v>
      </c>
      <c r="D10">
        <v>4</v>
      </c>
      <c r="E10">
        <v>1</v>
      </c>
      <c r="F10">
        <v>3</v>
      </c>
      <c r="G10">
        <v>1</v>
      </c>
      <c r="H10">
        <v>4</v>
      </c>
      <c r="I10">
        <v>18</v>
      </c>
      <c r="J10">
        <v>0</v>
      </c>
      <c r="K10">
        <v>0</v>
      </c>
      <c r="L10">
        <v>0</v>
      </c>
      <c r="M10">
        <v>0</v>
      </c>
      <c r="N10">
        <v>0</v>
      </c>
      <c r="O10">
        <v>65</v>
      </c>
      <c r="P10">
        <v>481</v>
      </c>
      <c r="Q10">
        <v>1276</v>
      </c>
      <c r="R10">
        <v>1481</v>
      </c>
      <c r="S10">
        <v>1131</v>
      </c>
      <c r="T10">
        <v>228</v>
      </c>
      <c r="U10">
        <v>10</v>
      </c>
      <c r="V10">
        <v>4672</v>
      </c>
    </row>
    <row r="11" spans="1:22" x14ac:dyDescent="0.25">
      <c r="A11">
        <v>10</v>
      </c>
      <c r="B11" t="s">
        <v>44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21</v>
      </c>
      <c r="S11">
        <v>131</v>
      </c>
      <c r="T11">
        <v>53</v>
      </c>
      <c r="U11">
        <v>7</v>
      </c>
      <c r="V11">
        <v>214</v>
      </c>
    </row>
    <row r="12" spans="1:22" x14ac:dyDescent="0.25">
      <c r="A12">
        <v>11</v>
      </c>
      <c r="B12" t="s">
        <v>45</v>
      </c>
      <c r="C12">
        <v>5</v>
      </c>
      <c r="D12">
        <v>1</v>
      </c>
      <c r="E12">
        <v>6</v>
      </c>
      <c r="F12">
        <v>10</v>
      </c>
      <c r="G12">
        <v>4</v>
      </c>
      <c r="H12">
        <v>6</v>
      </c>
      <c r="I12">
        <v>32</v>
      </c>
      <c r="J12">
        <v>1</v>
      </c>
      <c r="K12">
        <v>0</v>
      </c>
      <c r="L12">
        <v>0</v>
      </c>
      <c r="M12">
        <v>3</v>
      </c>
      <c r="N12">
        <v>3</v>
      </c>
      <c r="O12">
        <v>7</v>
      </c>
      <c r="P12">
        <v>18</v>
      </c>
      <c r="Q12">
        <v>103</v>
      </c>
      <c r="R12">
        <v>104</v>
      </c>
      <c r="S12">
        <v>77</v>
      </c>
      <c r="T12">
        <v>126</v>
      </c>
      <c r="U12">
        <v>21</v>
      </c>
      <c r="V12">
        <v>463</v>
      </c>
    </row>
    <row r="13" spans="1:22" x14ac:dyDescent="0.25">
      <c r="A13">
        <v>12</v>
      </c>
      <c r="B13" t="s">
        <v>46</v>
      </c>
      <c r="C13">
        <v>51</v>
      </c>
      <c r="D13">
        <v>199</v>
      </c>
      <c r="E13">
        <v>247</v>
      </c>
      <c r="F13">
        <v>219</v>
      </c>
      <c r="G13">
        <v>414</v>
      </c>
      <c r="H13">
        <v>803</v>
      </c>
      <c r="I13">
        <v>1933</v>
      </c>
      <c r="J13">
        <v>154</v>
      </c>
      <c r="K13">
        <v>298</v>
      </c>
      <c r="L13">
        <v>230</v>
      </c>
      <c r="M13">
        <v>138</v>
      </c>
      <c r="N13">
        <v>186</v>
      </c>
      <c r="O13">
        <v>415</v>
      </c>
      <c r="P13">
        <v>606</v>
      </c>
      <c r="Q13">
        <v>362</v>
      </c>
      <c r="R13">
        <v>300</v>
      </c>
      <c r="S13">
        <v>601</v>
      </c>
      <c r="T13">
        <v>318</v>
      </c>
      <c r="U13">
        <v>819</v>
      </c>
      <c r="V13">
        <v>4427</v>
      </c>
    </row>
    <row r="14" spans="1:22" x14ac:dyDescent="0.25">
      <c r="A14">
        <v>13</v>
      </c>
      <c r="B14" t="s">
        <v>47</v>
      </c>
      <c r="C14">
        <v>72</v>
      </c>
      <c r="D14">
        <v>62</v>
      </c>
      <c r="E14">
        <v>58</v>
      </c>
      <c r="F14">
        <v>64</v>
      </c>
      <c r="G14">
        <v>100</v>
      </c>
      <c r="H14">
        <v>464</v>
      </c>
      <c r="I14">
        <v>820</v>
      </c>
      <c r="J14">
        <v>167</v>
      </c>
      <c r="K14">
        <v>94</v>
      </c>
      <c r="L14">
        <v>72</v>
      </c>
      <c r="M14">
        <v>73</v>
      </c>
      <c r="N14">
        <v>439</v>
      </c>
      <c r="O14">
        <v>1454</v>
      </c>
      <c r="P14">
        <v>779</v>
      </c>
      <c r="Q14">
        <v>293</v>
      </c>
      <c r="R14">
        <v>282</v>
      </c>
      <c r="S14">
        <v>181</v>
      </c>
      <c r="T14">
        <v>135</v>
      </c>
      <c r="U14">
        <v>114</v>
      </c>
      <c r="V14">
        <v>4083</v>
      </c>
    </row>
    <row r="15" spans="1:22" x14ac:dyDescent="0.25">
      <c r="A15">
        <v>14</v>
      </c>
      <c r="B15" t="s">
        <v>48</v>
      </c>
      <c r="C15">
        <v>10</v>
      </c>
      <c r="D15">
        <v>22</v>
      </c>
      <c r="E15">
        <v>13</v>
      </c>
      <c r="F15">
        <v>7</v>
      </c>
      <c r="G15">
        <v>5</v>
      </c>
      <c r="H15">
        <v>19</v>
      </c>
      <c r="I15">
        <v>76</v>
      </c>
      <c r="J15">
        <v>6</v>
      </c>
      <c r="K15">
        <v>10</v>
      </c>
      <c r="L15">
        <v>3</v>
      </c>
      <c r="M15">
        <v>6</v>
      </c>
      <c r="N15">
        <v>9</v>
      </c>
      <c r="O15">
        <v>17</v>
      </c>
      <c r="P15">
        <v>104</v>
      </c>
      <c r="Q15">
        <v>302</v>
      </c>
      <c r="R15">
        <v>853</v>
      </c>
      <c r="S15">
        <v>1928</v>
      </c>
      <c r="T15">
        <v>1130</v>
      </c>
      <c r="U15">
        <v>138</v>
      </c>
      <c r="V15">
        <v>4506</v>
      </c>
    </row>
    <row r="16" spans="1:22" x14ac:dyDescent="0.25">
      <c r="A16">
        <v>15</v>
      </c>
      <c r="B16" t="s">
        <v>49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16</v>
      </c>
      <c r="R16">
        <v>0</v>
      </c>
      <c r="S16">
        <v>0</v>
      </c>
      <c r="T16">
        <v>0</v>
      </c>
      <c r="U16">
        <v>28</v>
      </c>
      <c r="V16">
        <v>44</v>
      </c>
    </row>
    <row r="17" spans="1:22" x14ac:dyDescent="0.25">
      <c r="A17">
        <v>16</v>
      </c>
      <c r="B17" t="s">
        <v>50</v>
      </c>
      <c r="C17">
        <v>148</v>
      </c>
      <c r="D17">
        <v>154</v>
      </c>
      <c r="E17">
        <v>150</v>
      </c>
      <c r="F17">
        <v>134</v>
      </c>
      <c r="G17">
        <v>181</v>
      </c>
      <c r="H17">
        <v>202</v>
      </c>
      <c r="I17">
        <v>969</v>
      </c>
      <c r="J17">
        <v>120</v>
      </c>
      <c r="K17">
        <v>59</v>
      </c>
      <c r="L17">
        <v>55</v>
      </c>
      <c r="M17">
        <v>122</v>
      </c>
      <c r="N17">
        <v>187</v>
      </c>
      <c r="O17">
        <v>550</v>
      </c>
      <c r="P17">
        <v>1046</v>
      </c>
      <c r="Q17">
        <v>1728</v>
      </c>
      <c r="R17">
        <v>2047</v>
      </c>
      <c r="S17">
        <v>2278</v>
      </c>
      <c r="T17">
        <v>1823</v>
      </c>
      <c r="U17">
        <v>996</v>
      </c>
      <c r="V17">
        <v>11011</v>
      </c>
    </row>
    <row r="18" spans="1:22" x14ac:dyDescent="0.25">
      <c r="A18">
        <v>17</v>
      </c>
      <c r="B18" t="s">
        <v>51</v>
      </c>
      <c r="C18">
        <v>1</v>
      </c>
      <c r="D18">
        <v>0</v>
      </c>
      <c r="E18">
        <v>0</v>
      </c>
      <c r="F18">
        <v>0</v>
      </c>
      <c r="G18">
        <v>2</v>
      </c>
      <c r="H18">
        <v>2</v>
      </c>
      <c r="I18">
        <v>5</v>
      </c>
      <c r="J18">
        <v>1</v>
      </c>
      <c r="K18">
        <v>0</v>
      </c>
      <c r="L18">
        <v>2</v>
      </c>
      <c r="M18">
        <v>1</v>
      </c>
      <c r="N18">
        <v>0</v>
      </c>
      <c r="O18">
        <v>0</v>
      </c>
      <c r="P18">
        <v>2</v>
      </c>
      <c r="Q18">
        <v>2</v>
      </c>
      <c r="R18">
        <v>1</v>
      </c>
      <c r="S18">
        <v>3</v>
      </c>
      <c r="T18">
        <v>1</v>
      </c>
      <c r="U18">
        <v>1</v>
      </c>
      <c r="V18">
        <v>14</v>
      </c>
    </row>
    <row r="19" spans="1:22" x14ac:dyDescent="0.25">
      <c r="A19">
        <v>18</v>
      </c>
      <c r="B19" t="s">
        <v>52</v>
      </c>
      <c r="C19">
        <v>0</v>
      </c>
      <c r="D19">
        <v>0</v>
      </c>
      <c r="E19">
        <v>5</v>
      </c>
      <c r="F19">
        <v>1</v>
      </c>
      <c r="G19">
        <v>0</v>
      </c>
      <c r="H19">
        <v>0</v>
      </c>
      <c r="I19">
        <v>6</v>
      </c>
      <c r="J19">
        <v>4</v>
      </c>
      <c r="K19">
        <v>6</v>
      </c>
      <c r="L19">
        <v>12</v>
      </c>
      <c r="M19">
        <v>12</v>
      </c>
      <c r="N19">
        <v>13</v>
      </c>
      <c r="O19">
        <v>6</v>
      </c>
      <c r="P19">
        <v>4</v>
      </c>
      <c r="Q19">
        <v>4</v>
      </c>
      <c r="R19">
        <v>2</v>
      </c>
      <c r="S19">
        <v>2</v>
      </c>
      <c r="T19">
        <v>3</v>
      </c>
      <c r="U19">
        <v>0</v>
      </c>
      <c r="V19">
        <v>68</v>
      </c>
    </row>
    <row r="20" spans="1:22" x14ac:dyDescent="0.25">
      <c r="A20">
        <v>19</v>
      </c>
      <c r="B20" t="s">
        <v>53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88</v>
      </c>
      <c r="R20">
        <v>147</v>
      </c>
      <c r="S20">
        <v>77</v>
      </c>
      <c r="T20">
        <v>57</v>
      </c>
      <c r="U20">
        <v>0</v>
      </c>
      <c r="V20">
        <v>369</v>
      </c>
    </row>
    <row r="21" spans="1:22" x14ac:dyDescent="0.25">
      <c r="A21">
        <v>20</v>
      </c>
      <c r="B21" t="s">
        <v>54</v>
      </c>
      <c r="C21">
        <v>2</v>
      </c>
      <c r="D21">
        <v>0</v>
      </c>
      <c r="E21">
        <v>0</v>
      </c>
      <c r="F21">
        <v>0</v>
      </c>
      <c r="G21">
        <v>0</v>
      </c>
      <c r="H21">
        <v>61</v>
      </c>
      <c r="I21">
        <v>63</v>
      </c>
      <c r="J21">
        <v>7</v>
      </c>
      <c r="K21">
        <v>6</v>
      </c>
      <c r="L21">
        <v>9</v>
      </c>
      <c r="M21">
        <v>8</v>
      </c>
      <c r="N21">
        <v>5</v>
      </c>
      <c r="O21">
        <v>191</v>
      </c>
      <c r="P21">
        <v>568</v>
      </c>
      <c r="Q21">
        <v>1637</v>
      </c>
      <c r="R21">
        <v>1452</v>
      </c>
      <c r="S21">
        <v>915</v>
      </c>
      <c r="T21">
        <v>341</v>
      </c>
      <c r="U21">
        <v>59</v>
      </c>
      <c r="V21">
        <v>5198</v>
      </c>
    </row>
    <row r="22" spans="1:22" x14ac:dyDescent="0.25">
      <c r="A22">
        <v>21</v>
      </c>
      <c r="B22" t="s">
        <v>55</v>
      </c>
      <c r="C22">
        <v>0</v>
      </c>
      <c r="D22">
        <v>0</v>
      </c>
      <c r="E22">
        <v>0</v>
      </c>
      <c r="F22">
        <v>8</v>
      </c>
      <c r="G22">
        <v>3</v>
      </c>
      <c r="H22">
        <v>52</v>
      </c>
      <c r="I22">
        <v>63</v>
      </c>
      <c r="J22">
        <v>0</v>
      </c>
      <c r="K22">
        <v>0</v>
      </c>
      <c r="L22">
        <v>0</v>
      </c>
      <c r="M22">
        <v>0</v>
      </c>
      <c r="N22">
        <v>5</v>
      </c>
      <c r="O22">
        <v>3</v>
      </c>
      <c r="P22">
        <v>31</v>
      </c>
      <c r="Q22">
        <v>317</v>
      </c>
      <c r="R22">
        <v>1970</v>
      </c>
      <c r="S22">
        <v>6555</v>
      </c>
      <c r="T22">
        <v>5454</v>
      </c>
      <c r="U22">
        <v>645</v>
      </c>
      <c r="V22">
        <v>14980</v>
      </c>
    </row>
    <row r="23" spans="1:22" x14ac:dyDescent="0.25">
      <c r="A23">
        <v>22</v>
      </c>
      <c r="B23" t="s">
        <v>56</v>
      </c>
      <c r="C23">
        <v>123</v>
      </c>
      <c r="D23">
        <v>77</v>
      </c>
      <c r="E23">
        <v>57</v>
      </c>
      <c r="F23">
        <v>51</v>
      </c>
      <c r="G23">
        <v>44</v>
      </c>
      <c r="H23">
        <v>46</v>
      </c>
      <c r="I23">
        <v>398</v>
      </c>
      <c r="J23">
        <v>483</v>
      </c>
      <c r="K23">
        <v>261</v>
      </c>
      <c r="L23">
        <v>252</v>
      </c>
      <c r="M23">
        <v>256</v>
      </c>
      <c r="N23">
        <v>278</v>
      </c>
      <c r="O23">
        <v>280</v>
      </c>
      <c r="P23">
        <v>239</v>
      </c>
      <c r="Q23">
        <v>331</v>
      </c>
      <c r="R23">
        <v>962</v>
      </c>
      <c r="S23">
        <v>3917</v>
      </c>
      <c r="T23">
        <v>1928</v>
      </c>
      <c r="U23">
        <v>400</v>
      </c>
      <c r="V23">
        <v>9587</v>
      </c>
    </row>
    <row r="24" spans="1:22" x14ac:dyDescent="0.25">
      <c r="A24">
        <v>23</v>
      </c>
      <c r="B24" t="s">
        <v>57</v>
      </c>
      <c r="C24">
        <v>2</v>
      </c>
      <c r="D24">
        <v>3</v>
      </c>
      <c r="E24">
        <v>1</v>
      </c>
      <c r="F24">
        <v>1</v>
      </c>
      <c r="G24">
        <v>0</v>
      </c>
      <c r="H24">
        <v>0</v>
      </c>
      <c r="I24">
        <v>7</v>
      </c>
      <c r="J24">
        <v>5</v>
      </c>
      <c r="K24">
        <v>0</v>
      </c>
      <c r="L24">
        <v>1</v>
      </c>
      <c r="M24">
        <v>6</v>
      </c>
      <c r="N24">
        <v>1</v>
      </c>
      <c r="O24">
        <v>1</v>
      </c>
      <c r="P24">
        <v>1</v>
      </c>
      <c r="Q24">
        <v>67</v>
      </c>
      <c r="R24">
        <v>155</v>
      </c>
      <c r="S24">
        <v>68</v>
      </c>
      <c r="T24">
        <v>15</v>
      </c>
      <c r="U24">
        <v>0</v>
      </c>
      <c r="V24">
        <v>320</v>
      </c>
    </row>
    <row r="25" spans="1:22" x14ac:dyDescent="0.25">
      <c r="A25">
        <v>24</v>
      </c>
      <c r="B25" t="s">
        <v>58</v>
      </c>
      <c r="C25">
        <v>376</v>
      </c>
      <c r="D25">
        <v>190</v>
      </c>
      <c r="E25">
        <v>186</v>
      </c>
      <c r="F25">
        <v>100</v>
      </c>
      <c r="G25">
        <v>114</v>
      </c>
      <c r="H25">
        <v>134</v>
      </c>
      <c r="I25">
        <v>1100</v>
      </c>
      <c r="J25">
        <v>917</v>
      </c>
      <c r="K25">
        <v>308</v>
      </c>
      <c r="L25">
        <v>144</v>
      </c>
      <c r="M25">
        <v>87</v>
      </c>
      <c r="N25">
        <v>71</v>
      </c>
      <c r="O25">
        <v>98</v>
      </c>
      <c r="P25">
        <v>132</v>
      </c>
      <c r="Q25">
        <v>178</v>
      </c>
      <c r="R25">
        <v>240</v>
      </c>
      <c r="S25">
        <v>605</v>
      </c>
      <c r="T25">
        <v>1016</v>
      </c>
      <c r="U25">
        <v>690</v>
      </c>
      <c r="V25">
        <v>4486</v>
      </c>
    </row>
    <row r="26" spans="1:22" x14ac:dyDescent="0.25">
      <c r="A26">
        <v>25</v>
      </c>
      <c r="B26" t="s">
        <v>59</v>
      </c>
      <c r="C26">
        <v>10</v>
      </c>
      <c r="D26">
        <v>6</v>
      </c>
      <c r="E26">
        <v>3</v>
      </c>
      <c r="F26">
        <v>7</v>
      </c>
      <c r="G26">
        <v>9</v>
      </c>
      <c r="H26">
        <v>11</v>
      </c>
      <c r="I26">
        <v>46</v>
      </c>
      <c r="J26">
        <v>3</v>
      </c>
      <c r="K26">
        <v>1</v>
      </c>
      <c r="L26">
        <v>2</v>
      </c>
      <c r="M26">
        <v>0</v>
      </c>
      <c r="N26">
        <v>10</v>
      </c>
      <c r="O26">
        <v>3</v>
      </c>
      <c r="P26">
        <v>9</v>
      </c>
      <c r="Q26">
        <v>10</v>
      </c>
      <c r="R26">
        <v>7</v>
      </c>
      <c r="S26">
        <v>22</v>
      </c>
      <c r="T26">
        <v>26</v>
      </c>
      <c r="U26">
        <v>7</v>
      </c>
      <c r="V26">
        <v>100</v>
      </c>
    </row>
    <row r="27" spans="1:22" x14ac:dyDescent="0.25">
      <c r="A27">
        <v>26</v>
      </c>
      <c r="B27" t="s">
        <v>60</v>
      </c>
      <c r="C27">
        <v>85</v>
      </c>
      <c r="D27">
        <v>23</v>
      </c>
      <c r="E27">
        <v>223</v>
      </c>
      <c r="F27">
        <v>177</v>
      </c>
      <c r="G27">
        <v>259</v>
      </c>
      <c r="H27">
        <v>186</v>
      </c>
      <c r="I27">
        <v>953</v>
      </c>
      <c r="J27">
        <v>48</v>
      </c>
      <c r="K27">
        <v>99</v>
      </c>
      <c r="L27">
        <v>55</v>
      </c>
      <c r="M27">
        <v>65</v>
      </c>
      <c r="N27">
        <v>94</v>
      </c>
      <c r="O27">
        <v>33</v>
      </c>
      <c r="P27">
        <v>276</v>
      </c>
      <c r="Q27">
        <v>529</v>
      </c>
      <c r="R27">
        <v>1173</v>
      </c>
      <c r="S27">
        <v>1149</v>
      </c>
      <c r="T27">
        <v>693</v>
      </c>
      <c r="U27">
        <v>378</v>
      </c>
      <c r="V27">
        <v>4592</v>
      </c>
    </row>
    <row r="28" spans="1:22" x14ac:dyDescent="0.25">
      <c r="A28">
        <v>27</v>
      </c>
      <c r="B28" t="s">
        <v>61</v>
      </c>
      <c r="C28">
        <v>20</v>
      </c>
      <c r="D28">
        <v>11</v>
      </c>
      <c r="E28">
        <v>9</v>
      </c>
      <c r="F28">
        <v>3</v>
      </c>
      <c r="G28">
        <v>11</v>
      </c>
      <c r="H28">
        <v>15</v>
      </c>
      <c r="I28">
        <v>69</v>
      </c>
      <c r="J28">
        <v>48</v>
      </c>
      <c r="K28">
        <v>24</v>
      </c>
      <c r="L28">
        <v>28</v>
      </c>
      <c r="M28">
        <v>21</v>
      </c>
      <c r="N28">
        <v>17</v>
      </c>
      <c r="O28">
        <v>12</v>
      </c>
      <c r="P28">
        <v>34</v>
      </c>
      <c r="Q28">
        <v>126</v>
      </c>
      <c r="R28">
        <v>602</v>
      </c>
      <c r="S28">
        <v>2126</v>
      </c>
      <c r="T28">
        <v>627</v>
      </c>
      <c r="U28">
        <v>164</v>
      </c>
      <c r="V28">
        <v>3829</v>
      </c>
    </row>
    <row r="29" spans="1:22" x14ac:dyDescent="0.25">
      <c r="A29">
        <v>28</v>
      </c>
      <c r="B29" t="s">
        <v>62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6</v>
      </c>
      <c r="Q29">
        <v>10</v>
      </c>
      <c r="R29">
        <v>190</v>
      </c>
      <c r="S29">
        <v>335</v>
      </c>
      <c r="T29">
        <v>148</v>
      </c>
      <c r="U29">
        <v>0</v>
      </c>
      <c r="V29">
        <v>689</v>
      </c>
    </row>
    <row r="30" spans="1:22" x14ac:dyDescent="0.25">
      <c r="A30">
        <v>29</v>
      </c>
      <c r="B30" t="s">
        <v>63</v>
      </c>
      <c r="C30" t="s">
        <v>64</v>
      </c>
      <c r="D30" t="s">
        <v>64</v>
      </c>
      <c r="E30" t="s">
        <v>64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 t="s">
        <v>64</v>
      </c>
      <c r="U30" t="s">
        <v>64</v>
      </c>
      <c r="V30" t="s">
        <v>64</v>
      </c>
    </row>
    <row r="31" spans="1:22" x14ac:dyDescent="0.25">
      <c r="A31">
        <v>30</v>
      </c>
      <c r="B31" t="s">
        <v>65</v>
      </c>
      <c r="C31">
        <v>24</v>
      </c>
      <c r="D31">
        <v>0</v>
      </c>
      <c r="E31">
        <v>0</v>
      </c>
      <c r="F31">
        <v>0</v>
      </c>
      <c r="G31">
        <v>1</v>
      </c>
      <c r="H31">
        <v>0</v>
      </c>
      <c r="I31">
        <v>25</v>
      </c>
      <c r="J31">
        <v>0</v>
      </c>
      <c r="K31">
        <v>1</v>
      </c>
      <c r="L31">
        <v>2</v>
      </c>
      <c r="M31">
        <v>1</v>
      </c>
      <c r="N31">
        <v>5</v>
      </c>
      <c r="O31">
        <v>2</v>
      </c>
      <c r="P31">
        <v>0</v>
      </c>
      <c r="Q31">
        <v>0</v>
      </c>
      <c r="R31">
        <v>10</v>
      </c>
      <c r="S31">
        <v>12</v>
      </c>
      <c r="T31">
        <v>6</v>
      </c>
      <c r="U31">
        <v>10</v>
      </c>
      <c r="V31">
        <v>49</v>
      </c>
    </row>
    <row r="32" spans="1:22" x14ac:dyDescent="0.25">
      <c r="A32">
        <v>31</v>
      </c>
      <c r="B32" t="s">
        <v>66</v>
      </c>
      <c r="C32">
        <v>0</v>
      </c>
      <c r="D32">
        <v>0</v>
      </c>
      <c r="E32">
        <v>0</v>
      </c>
      <c r="F32">
        <v>0</v>
      </c>
      <c r="G32">
        <v>0</v>
      </c>
      <c r="H32">
        <v>7</v>
      </c>
      <c r="I32">
        <v>7</v>
      </c>
      <c r="J32">
        <v>3</v>
      </c>
      <c r="K32">
        <v>1</v>
      </c>
      <c r="L32">
        <v>1</v>
      </c>
      <c r="M32">
        <v>0</v>
      </c>
      <c r="N32">
        <v>2</v>
      </c>
      <c r="O32">
        <v>5</v>
      </c>
      <c r="P32">
        <v>5</v>
      </c>
      <c r="Q32">
        <v>17</v>
      </c>
      <c r="R32">
        <v>56</v>
      </c>
      <c r="S32">
        <v>115</v>
      </c>
      <c r="T32">
        <v>80</v>
      </c>
      <c r="U32">
        <v>16</v>
      </c>
      <c r="V32">
        <v>301</v>
      </c>
    </row>
    <row r="33" spans="1:22" x14ac:dyDescent="0.25">
      <c r="A33">
        <v>32</v>
      </c>
      <c r="B33" t="s">
        <v>67</v>
      </c>
      <c r="C33">
        <v>1</v>
      </c>
      <c r="D33">
        <v>18</v>
      </c>
      <c r="E33">
        <v>5</v>
      </c>
      <c r="F33">
        <v>16</v>
      </c>
      <c r="G33">
        <v>13</v>
      </c>
      <c r="H33">
        <v>38</v>
      </c>
      <c r="I33">
        <v>91</v>
      </c>
      <c r="J33">
        <v>5</v>
      </c>
      <c r="K33">
        <v>10</v>
      </c>
      <c r="L33">
        <v>3</v>
      </c>
      <c r="M33">
        <v>8</v>
      </c>
      <c r="N33">
        <v>8</v>
      </c>
      <c r="O33">
        <v>24</v>
      </c>
      <c r="P33">
        <v>49</v>
      </c>
      <c r="Q33">
        <v>160</v>
      </c>
      <c r="R33">
        <v>889</v>
      </c>
      <c r="S33">
        <v>2245</v>
      </c>
      <c r="T33">
        <v>2813</v>
      </c>
      <c r="U33">
        <v>922</v>
      </c>
      <c r="V33">
        <v>7136</v>
      </c>
    </row>
    <row r="34" spans="1:22" x14ac:dyDescent="0.25">
      <c r="A34">
        <v>33</v>
      </c>
      <c r="B34" t="s">
        <v>68</v>
      </c>
      <c r="C34">
        <v>0</v>
      </c>
      <c r="D34">
        <v>4</v>
      </c>
      <c r="E34">
        <v>4</v>
      </c>
      <c r="F34">
        <v>4</v>
      </c>
      <c r="G34">
        <v>4</v>
      </c>
      <c r="H34">
        <v>6</v>
      </c>
      <c r="I34">
        <v>22</v>
      </c>
      <c r="J34">
        <v>13</v>
      </c>
      <c r="K34">
        <v>3</v>
      </c>
      <c r="L34">
        <v>4</v>
      </c>
      <c r="M34">
        <v>7</v>
      </c>
      <c r="N34">
        <v>11</v>
      </c>
      <c r="O34">
        <v>25</v>
      </c>
      <c r="P34">
        <v>18</v>
      </c>
      <c r="Q34">
        <v>44</v>
      </c>
      <c r="R34">
        <v>85</v>
      </c>
      <c r="S34">
        <v>160</v>
      </c>
      <c r="T34">
        <v>94</v>
      </c>
      <c r="U34">
        <v>29</v>
      </c>
      <c r="V34">
        <v>493</v>
      </c>
    </row>
    <row r="35" spans="1:22" x14ac:dyDescent="0.25">
      <c r="A35">
        <v>34</v>
      </c>
      <c r="B35" t="s">
        <v>69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  <c r="J35">
        <v>2</v>
      </c>
      <c r="K35">
        <v>1</v>
      </c>
      <c r="L35">
        <v>0</v>
      </c>
      <c r="M35">
        <v>0</v>
      </c>
      <c r="N35">
        <v>0</v>
      </c>
      <c r="O35">
        <v>4</v>
      </c>
      <c r="P35">
        <v>3</v>
      </c>
      <c r="Q35">
        <v>8</v>
      </c>
      <c r="R35">
        <v>36</v>
      </c>
      <c r="S35">
        <v>60</v>
      </c>
      <c r="T35">
        <v>35</v>
      </c>
      <c r="U35">
        <v>14</v>
      </c>
      <c r="V35">
        <v>163</v>
      </c>
    </row>
    <row r="36" spans="1:22" x14ac:dyDescent="0.25">
      <c r="A36">
        <v>35</v>
      </c>
      <c r="B36" t="s">
        <v>7</v>
      </c>
      <c r="C36">
        <v>64</v>
      </c>
      <c r="D36">
        <v>72</v>
      </c>
      <c r="E36">
        <v>49</v>
      </c>
      <c r="F36">
        <v>60</v>
      </c>
      <c r="G36">
        <v>23</v>
      </c>
      <c r="H36">
        <v>27</v>
      </c>
      <c r="I36">
        <v>295</v>
      </c>
      <c r="J36">
        <v>60</v>
      </c>
      <c r="K36">
        <v>31</v>
      </c>
      <c r="L36">
        <v>5</v>
      </c>
      <c r="M36">
        <v>4</v>
      </c>
      <c r="N36">
        <v>3</v>
      </c>
      <c r="O36">
        <v>2</v>
      </c>
      <c r="P36">
        <v>9</v>
      </c>
      <c r="Q36">
        <v>15</v>
      </c>
      <c r="R36">
        <v>51</v>
      </c>
      <c r="S36">
        <v>95</v>
      </c>
      <c r="T36">
        <v>179</v>
      </c>
      <c r="U36">
        <v>138</v>
      </c>
      <c r="V36">
        <v>592</v>
      </c>
    </row>
    <row r="37" spans="1:22" x14ac:dyDescent="0.25">
      <c r="A37" t="s">
        <v>70</v>
      </c>
      <c r="B37" t="s">
        <v>70</v>
      </c>
      <c r="C37">
        <v>1206</v>
      </c>
      <c r="D37">
        <v>967</v>
      </c>
      <c r="E37">
        <v>1156</v>
      </c>
      <c r="F37">
        <v>1008</v>
      </c>
      <c r="G37">
        <v>1379</v>
      </c>
      <c r="H37">
        <v>2342</v>
      </c>
      <c r="I37">
        <v>8058</v>
      </c>
      <c r="J37">
        <v>2305</v>
      </c>
      <c r="K37">
        <v>1409</v>
      </c>
      <c r="L37">
        <v>1060</v>
      </c>
      <c r="M37">
        <v>948</v>
      </c>
      <c r="N37">
        <v>1535</v>
      </c>
      <c r="O37">
        <v>3658</v>
      </c>
      <c r="P37">
        <v>5815</v>
      </c>
      <c r="Q37">
        <v>10092</v>
      </c>
      <c r="R37">
        <v>16877</v>
      </c>
      <c r="S37">
        <v>30125</v>
      </c>
      <c r="T37">
        <v>20852</v>
      </c>
      <c r="U37">
        <v>6516</v>
      </c>
      <c r="V37">
        <v>101192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CD11-8AA6-4999-84DD-872D8162D059}">
  <dimension ref="A1:H62"/>
  <sheetViews>
    <sheetView workbookViewId="0">
      <selection sqref="A1:H1048576"/>
    </sheetView>
  </sheetViews>
  <sheetFormatPr defaultRowHeight="15" x14ac:dyDescent="0.25"/>
  <sheetData>
    <row r="1" spans="1:8" x14ac:dyDescent="0.25">
      <c r="A1" t="s">
        <v>1</v>
      </c>
      <c r="B1" t="s">
        <v>3</v>
      </c>
      <c r="C1" t="s">
        <v>4</v>
      </c>
      <c r="D1" t="s">
        <v>75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25">
      <c r="A2" t="s">
        <v>11</v>
      </c>
      <c r="B2">
        <v>2019</v>
      </c>
      <c r="C2">
        <v>1</v>
      </c>
      <c r="D2">
        <v>0</v>
      </c>
      <c r="E2" t="str">
        <f xml:space="preserve"> B2&amp;"-"&amp;C2</f>
        <v>2019-1</v>
      </c>
      <c r="F2">
        <f>IFERROR(INDEX(Dengue_CAses!$D$2:$D$13,MATCH(E2,Dengue_CAses!$E$2:$E$13,0)),0)</f>
        <v>64</v>
      </c>
    </row>
    <row r="3" spans="1:8" x14ac:dyDescent="0.25">
      <c r="A3" t="s">
        <v>11</v>
      </c>
      <c r="B3">
        <v>2019</v>
      </c>
      <c r="C3">
        <v>2</v>
      </c>
      <c r="D3">
        <v>9.1658143019999994</v>
      </c>
      <c r="E3" t="str">
        <f t="shared" ref="E3:E49" si="0" xml:space="preserve"> B3&amp;"-"&amp;C3</f>
        <v>2019-2</v>
      </c>
      <c r="F3">
        <f>IFERROR(INDEX(Dengue_CAses!$D$2:$D$13,MATCH(E3,Dengue_CAses!$E$2:$E$13,0)),0)</f>
        <v>72</v>
      </c>
      <c r="G3">
        <f>D2</f>
        <v>0</v>
      </c>
    </row>
    <row r="4" spans="1:8" x14ac:dyDescent="0.25">
      <c r="A4" t="s">
        <v>11</v>
      </c>
      <c r="B4">
        <v>2019</v>
      </c>
      <c r="C4">
        <v>3</v>
      </c>
      <c r="D4">
        <v>0.92913429400000003</v>
      </c>
      <c r="E4" t="str">
        <f t="shared" si="0"/>
        <v>2019-3</v>
      </c>
      <c r="F4">
        <f>IFERROR(INDEX(Dengue_CAses!$D$2:$D$13,MATCH(E4,Dengue_CAses!$E$2:$E$13,0)),0)</f>
        <v>49</v>
      </c>
      <c r="G4">
        <f t="shared" ref="G4:G49" si="1">D3</f>
        <v>9.1658143019999994</v>
      </c>
      <c r="H4">
        <f>D2</f>
        <v>0</v>
      </c>
    </row>
    <row r="5" spans="1:8" x14ac:dyDescent="0.25">
      <c r="A5" t="s">
        <v>11</v>
      </c>
      <c r="B5">
        <v>2019</v>
      </c>
      <c r="C5">
        <v>4</v>
      </c>
      <c r="D5">
        <v>0.15261143900000002</v>
      </c>
      <c r="E5" t="str">
        <f t="shared" si="0"/>
        <v>2019-4</v>
      </c>
      <c r="F5">
        <f>IFERROR(INDEX(Dengue_CAses!$D$2:$D$13,MATCH(E5,Dengue_CAses!$E$2:$E$13,0)),0)</f>
        <v>60</v>
      </c>
      <c r="G5">
        <f t="shared" si="1"/>
        <v>0.92913429400000003</v>
      </c>
      <c r="H5">
        <f t="shared" ref="H5:H49" si="2">D3</f>
        <v>9.1658143019999994</v>
      </c>
    </row>
    <row r="6" spans="1:8" x14ac:dyDescent="0.25">
      <c r="A6" t="s">
        <v>11</v>
      </c>
      <c r="B6">
        <v>2019</v>
      </c>
      <c r="C6">
        <v>5</v>
      </c>
      <c r="D6">
        <v>0</v>
      </c>
      <c r="E6" t="str">
        <f t="shared" si="0"/>
        <v>2019-5</v>
      </c>
      <c r="F6">
        <f>IFERROR(INDEX(Dengue_CAses!$D$2:$D$13,MATCH(E6,Dengue_CAses!$E$2:$E$13,0)),0)</f>
        <v>23</v>
      </c>
      <c r="G6">
        <f t="shared" si="1"/>
        <v>0.15261143900000002</v>
      </c>
      <c r="H6">
        <f t="shared" si="2"/>
        <v>0.92913429400000003</v>
      </c>
    </row>
    <row r="7" spans="1:8" x14ac:dyDescent="0.25">
      <c r="A7" t="s">
        <v>11</v>
      </c>
      <c r="B7">
        <v>2019</v>
      </c>
      <c r="C7">
        <v>6</v>
      </c>
      <c r="D7">
        <v>13.349442033000001</v>
      </c>
      <c r="E7" t="str">
        <f t="shared" si="0"/>
        <v>2019-6</v>
      </c>
      <c r="F7">
        <f>IFERROR(INDEX(Dengue_CAses!$D$2:$D$13,MATCH(E7,Dengue_CAses!$E$2:$E$13,0)),0)</f>
        <v>27</v>
      </c>
      <c r="G7">
        <f t="shared" si="1"/>
        <v>0</v>
      </c>
      <c r="H7">
        <f t="shared" si="2"/>
        <v>0.15261143900000002</v>
      </c>
    </row>
    <row r="8" spans="1:8" x14ac:dyDescent="0.25">
      <c r="A8" t="s">
        <v>11</v>
      </c>
      <c r="B8">
        <v>2019</v>
      </c>
      <c r="C8">
        <v>7</v>
      </c>
      <c r="D8">
        <v>23.672271503999998</v>
      </c>
      <c r="E8" t="str">
        <f t="shared" si="0"/>
        <v>2019-7</v>
      </c>
      <c r="F8">
        <f>IFERROR(INDEX(Dengue_CAses!$D$2:$D$13,MATCH(E8,Dengue_CAses!$E$2:$E$13,0)),0)</f>
        <v>0</v>
      </c>
      <c r="G8">
        <f t="shared" si="1"/>
        <v>13.349442033000001</v>
      </c>
      <c r="H8">
        <f t="shared" si="2"/>
        <v>0</v>
      </c>
    </row>
    <row r="9" spans="1:8" x14ac:dyDescent="0.25">
      <c r="A9" t="s">
        <v>11</v>
      </c>
      <c r="B9">
        <v>2019</v>
      </c>
      <c r="C9">
        <v>8</v>
      </c>
      <c r="D9">
        <v>109.449435718</v>
      </c>
      <c r="E9" t="str">
        <f t="shared" si="0"/>
        <v>2019-8</v>
      </c>
      <c r="F9">
        <f>IFERROR(INDEX(Dengue_CAses!$D$2:$D$13,MATCH(E9,Dengue_CAses!$E$2:$E$13,0)),0)</f>
        <v>0</v>
      </c>
      <c r="G9">
        <f t="shared" si="1"/>
        <v>23.672271503999998</v>
      </c>
      <c r="H9">
        <f t="shared" si="2"/>
        <v>13.349442033000001</v>
      </c>
    </row>
    <row r="10" spans="1:8" x14ac:dyDescent="0.25">
      <c r="A10" t="s">
        <v>11</v>
      </c>
      <c r="B10">
        <v>2019</v>
      </c>
      <c r="C10">
        <v>9</v>
      </c>
      <c r="D10">
        <v>178.713266258</v>
      </c>
      <c r="E10" t="str">
        <f t="shared" si="0"/>
        <v>2019-9</v>
      </c>
      <c r="F10">
        <f>IFERROR(INDEX(Dengue_CAses!$D$2:$D$13,MATCH(E10,Dengue_CAses!$E$2:$E$13,0)),0)</f>
        <v>0</v>
      </c>
      <c r="G10">
        <f t="shared" si="1"/>
        <v>109.449435718</v>
      </c>
      <c r="H10">
        <f t="shared" si="2"/>
        <v>23.672271503999998</v>
      </c>
    </row>
    <row r="11" spans="1:8" x14ac:dyDescent="0.25">
      <c r="A11" t="s">
        <v>11</v>
      </c>
      <c r="B11">
        <v>2019</v>
      </c>
      <c r="C11">
        <v>10</v>
      </c>
      <c r="D11">
        <v>339.93209584099998</v>
      </c>
      <c r="E11" t="str">
        <f t="shared" si="0"/>
        <v>2019-10</v>
      </c>
      <c r="F11">
        <f>IFERROR(INDEX(Dengue_CAses!$D$2:$D$13,MATCH(E11,Dengue_CAses!$E$2:$E$13,0)),0)</f>
        <v>0</v>
      </c>
      <c r="G11">
        <f t="shared" si="1"/>
        <v>178.713266258</v>
      </c>
      <c r="H11">
        <f t="shared" si="2"/>
        <v>109.449435718</v>
      </c>
    </row>
    <row r="12" spans="1:8" x14ac:dyDescent="0.25">
      <c r="A12" t="s">
        <v>11</v>
      </c>
      <c r="B12">
        <v>2019</v>
      </c>
      <c r="C12">
        <v>11</v>
      </c>
      <c r="D12">
        <v>353.01901642600001</v>
      </c>
      <c r="E12" t="str">
        <f xml:space="preserve"> B12&amp;"-"&amp;C12</f>
        <v>2019-11</v>
      </c>
      <c r="F12">
        <f>IFERROR(INDEX(Dengue_CAses!$D$2:$D$13,MATCH(E12,Dengue_CAses!$E$2:$E$13,0)),0)</f>
        <v>0</v>
      </c>
      <c r="G12">
        <f t="shared" si="1"/>
        <v>339.93209584099998</v>
      </c>
      <c r="H12">
        <f t="shared" si="2"/>
        <v>178.713266258</v>
      </c>
    </row>
    <row r="13" spans="1:8" x14ac:dyDescent="0.25">
      <c r="A13" t="s">
        <v>11</v>
      </c>
      <c r="B13">
        <v>2019</v>
      </c>
      <c r="C13">
        <v>12</v>
      </c>
      <c r="D13">
        <v>355.84132308499989</v>
      </c>
      <c r="E13" t="str">
        <f t="shared" si="0"/>
        <v>2019-12</v>
      </c>
      <c r="F13">
        <f>IFERROR(INDEX(Dengue_CAses!$D$2:$D$13,MATCH(E13,Dengue_CAses!$E$2:$E$13,0)),0)</f>
        <v>0</v>
      </c>
      <c r="G13">
        <f t="shared" si="1"/>
        <v>353.01901642600001</v>
      </c>
      <c r="H13">
        <f t="shared" si="2"/>
        <v>339.93209584099998</v>
      </c>
    </row>
    <row r="14" spans="1:8" x14ac:dyDescent="0.25">
      <c r="A14" t="s">
        <v>12</v>
      </c>
      <c r="B14">
        <v>2019</v>
      </c>
      <c r="C14">
        <v>1</v>
      </c>
      <c r="D14">
        <v>0</v>
      </c>
      <c r="E14" t="str">
        <f t="shared" si="0"/>
        <v>2019-1</v>
      </c>
      <c r="F14">
        <f>IFERROR(INDEX(Dengue_CAses!$D$2:$D$13,MATCH(E14,Dengue_CAses!$E$2:$E$13,0)),0)</f>
        <v>64</v>
      </c>
      <c r="G14">
        <f t="shared" si="1"/>
        <v>355.84132308499989</v>
      </c>
      <c r="H14">
        <f t="shared" si="2"/>
        <v>353.01901642600001</v>
      </c>
    </row>
    <row r="15" spans="1:8" x14ac:dyDescent="0.25">
      <c r="A15" t="s">
        <v>12</v>
      </c>
      <c r="B15">
        <v>2019</v>
      </c>
      <c r="C15">
        <v>2</v>
      </c>
      <c r="D15">
        <v>0</v>
      </c>
      <c r="E15" t="str">
        <f t="shared" si="0"/>
        <v>2019-2</v>
      </c>
      <c r="F15">
        <f>IFERROR(INDEX(Dengue_CAses!$D$2:$D$13,MATCH(E15,Dengue_CAses!$E$2:$E$13,0)),0)</f>
        <v>72</v>
      </c>
      <c r="G15">
        <f t="shared" si="1"/>
        <v>0</v>
      </c>
      <c r="H15">
        <f t="shared" si="2"/>
        <v>355.84132308499989</v>
      </c>
    </row>
    <row r="16" spans="1:8" x14ac:dyDescent="0.25">
      <c r="A16" t="s">
        <v>12</v>
      </c>
      <c r="B16">
        <v>2019</v>
      </c>
      <c r="C16">
        <v>3</v>
      </c>
      <c r="D16">
        <v>0</v>
      </c>
      <c r="E16" t="str">
        <f t="shared" si="0"/>
        <v>2019-3</v>
      </c>
      <c r="F16">
        <f>IFERROR(INDEX(Dengue_CAses!$D$2:$D$13,MATCH(E16,Dengue_CAses!$E$2:$E$13,0)),0)</f>
        <v>49</v>
      </c>
      <c r="G16">
        <f t="shared" si="1"/>
        <v>0</v>
      </c>
      <c r="H16">
        <f t="shared" si="2"/>
        <v>0</v>
      </c>
    </row>
    <row r="17" spans="1:8" x14ac:dyDescent="0.25">
      <c r="A17" t="s">
        <v>12</v>
      </c>
      <c r="B17">
        <v>2019</v>
      </c>
      <c r="C17">
        <v>4</v>
      </c>
      <c r="D17">
        <v>32.637675527000006</v>
      </c>
      <c r="E17" t="str">
        <f t="shared" si="0"/>
        <v>2019-4</v>
      </c>
      <c r="F17">
        <f>IFERROR(INDEX(Dengue_CAses!$D$2:$D$13,MATCH(E17,Dengue_CAses!$E$2:$E$13,0)),0)</f>
        <v>60</v>
      </c>
      <c r="G17">
        <f t="shared" si="1"/>
        <v>0</v>
      </c>
      <c r="H17">
        <f t="shared" si="2"/>
        <v>0</v>
      </c>
    </row>
    <row r="18" spans="1:8" x14ac:dyDescent="0.25">
      <c r="A18" t="s">
        <v>12</v>
      </c>
      <c r="B18">
        <v>2019</v>
      </c>
      <c r="C18">
        <v>5</v>
      </c>
      <c r="D18">
        <v>41.663589055000003</v>
      </c>
      <c r="E18" t="str">
        <f t="shared" si="0"/>
        <v>2019-5</v>
      </c>
      <c r="F18">
        <f>IFERROR(INDEX(Dengue_CAses!$D$2:$D$13,MATCH(E18,Dengue_CAses!$E$2:$E$13,0)),0)</f>
        <v>23</v>
      </c>
      <c r="G18">
        <f t="shared" si="1"/>
        <v>32.637675527000006</v>
      </c>
      <c r="H18">
        <f t="shared" si="2"/>
        <v>0</v>
      </c>
    </row>
    <row r="19" spans="1:8" x14ac:dyDescent="0.25">
      <c r="A19" t="s">
        <v>12</v>
      </c>
      <c r="B19">
        <v>2019</v>
      </c>
      <c r="C19">
        <v>6</v>
      </c>
      <c r="D19">
        <v>610.44939981499988</v>
      </c>
      <c r="E19" t="str">
        <f t="shared" si="0"/>
        <v>2019-6</v>
      </c>
      <c r="F19">
        <f>IFERROR(INDEX(Dengue_CAses!$D$2:$D$13,MATCH(E19,Dengue_CAses!$E$2:$E$13,0)),0)</f>
        <v>27</v>
      </c>
      <c r="G19">
        <f t="shared" si="1"/>
        <v>41.663589055000003</v>
      </c>
      <c r="H19">
        <f t="shared" si="2"/>
        <v>32.637675527000006</v>
      </c>
    </row>
    <row r="20" spans="1:8" x14ac:dyDescent="0.25">
      <c r="A20" t="s">
        <v>12</v>
      </c>
      <c r="B20">
        <v>2019</v>
      </c>
      <c r="C20">
        <v>7</v>
      </c>
      <c r="D20">
        <v>1076.7193428479998</v>
      </c>
      <c r="E20" t="str">
        <f t="shared" si="0"/>
        <v>2019-7</v>
      </c>
      <c r="F20">
        <f>IFERROR(INDEX(Dengue_CAses!$D$2:$D$13,MATCH(E20,Dengue_CAses!$E$2:$E$13,0)),0)</f>
        <v>0</v>
      </c>
      <c r="G20">
        <f t="shared" si="1"/>
        <v>610.44939981499988</v>
      </c>
      <c r="H20">
        <f t="shared" si="2"/>
        <v>41.663589055000003</v>
      </c>
    </row>
    <row r="21" spans="1:8" x14ac:dyDescent="0.25">
      <c r="A21" t="s">
        <v>12</v>
      </c>
      <c r="B21">
        <v>2019</v>
      </c>
      <c r="C21">
        <v>8</v>
      </c>
      <c r="D21">
        <v>1450.6353487019994</v>
      </c>
      <c r="E21" t="str">
        <f t="shared" si="0"/>
        <v>2019-8</v>
      </c>
      <c r="F21">
        <f>IFERROR(INDEX(Dengue_CAses!$D$2:$D$13,MATCH(E21,Dengue_CAses!$E$2:$E$13,0)),0)</f>
        <v>0</v>
      </c>
      <c r="G21">
        <f t="shared" si="1"/>
        <v>1076.7193428479998</v>
      </c>
      <c r="H21">
        <f t="shared" si="2"/>
        <v>610.44939981499988</v>
      </c>
    </row>
    <row r="22" spans="1:8" x14ac:dyDescent="0.25">
      <c r="A22" t="s">
        <v>12</v>
      </c>
      <c r="B22">
        <v>2019</v>
      </c>
      <c r="C22">
        <v>9</v>
      </c>
      <c r="D22">
        <v>520.47046950899994</v>
      </c>
      <c r="E22" t="str">
        <f t="shared" si="0"/>
        <v>2019-9</v>
      </c>
      <c r="F22">
        <f>IFERROR(INDEX(Dengue_CAses!$D$2:$D$13,MATCH(E22,Dengue_CAses!$E$2:$E$13,0)),0)</f>
        <v>0</v>
      </c>
      <c r="G22">
        <f t="shared" si="1"/>
        <v>1450.6353487019994</v>
      </c>
      <c r="H22">
        <f t="shared" si="2"/>
        <v>1076.7193428479998</v>
      </c>
    </row>
    <row r="23" spans="1:8" x14ac:dyDescent="0.25">
      <c r="A23" t="s">
        <v>12</v>
      </c>
      <c r="B23">
        <v>2019</v>
      </c>
      <c r="C23">
        <v>10</v>
      </c>
      <c r="D23">
        <v>543.82237067100004</v>
      </c>
      <c r="E23" t="str">
        <f t="shared" si="0"/>
        <v>2019-10</v>
      </c>
      <c r="F23">
        <f>IFERROR(INDEX(Dengue_CAses!$D$2:$D$13,MATCH(E23,Dengue_CAses!$E$2:$E$13,0)),0)</f>
        <v>0</v>
      </c>
      <c r="G23">
        <f t="shared" si="1"/>
        <v>520.47046950899994</v>
      </c>
      <c r="H23">
        <f t="shared" si="2"/>
        <v>1450.6353487019994</v>
      </c>
    </row>
    <row r="24" spans="1:8" x14ac:dyDescent="0.25">
      <c r="A24" t="s">
        <v>12</v>
      </c>
      <c r="B24">
        <v>2019</v>
      </c>
      <c r="C24">
        <v>11</v>
      </c>
      <c r="D24">
        <v>106.62842515</v>
      </c>
      <c r="E24" t="str">
        <f t="shared" si="0"/>
        <v>2019-11</v>
      </c>
      <c r="F24">
        <f>IFERROR(INDEX(Dengue_CAses!$D$2:$D$13,MATCH(E24,Dengue_CAses!$E$2:$E$13,0)),0)</f>
        <v>0</v>
      </c>
      <c r="G24">
        <f t="shared" si="1"/>
        <v>543.82237067100004</v>
      </c>
      <c r="H24">
        <f t="shared" si="2"/>
        <v>520.47046950899994</v>
      </c>
    </row>
    <row r="25" spans="1:8" x14ac:dyDescent="0.25">
      <c r="A25" t="s">
        <v>12</v>
      </c>
      <c r="B25">
        <v>2019</v>
      </c>
      <c r="C25">
        <v>12</v>
      </c>
      <c r="D25">
        <v>43.916472402000004</v>
      </c>
      <c r="E25" t="str">
        <f t="shared" si="0"/>
        <v>2019-12</v>
      </c>
      <c r="F25">
        <f>IFERROR(INDEX(Dengue_CAses!$D$2:$D$13,MATCH(E25,Dengue_CAses!$E$2:$E$13,0)),0)</f>
        <v>0</v>
      </c>
      <c r="G25">
        <f t="shared" si="1"/>
        <v>106.62842515</v>
      </c>
      <c r="H25">
        <f t="shared" si="2"/>
        <v>543.82237067100004</v>
      </c>
    </row>
    <row r="26" spans="1:8" x14ac:dyDescent="0.25">
      <c r="A26" t="s">
        <v>8</v>
      </c>
      <c r="B26">
        <v>2019</v>
      </c>
      <c r="C26">
        <v>1</v>
      </c>
      <c r="D26">
        <v>0.34661178999999998</v>
      </c>
      <c r="E26" t="str">
        <f t="shared" si="0"/>
        <v>2019-1</v>
      </c>
      <c r="F26">
        <f>IFERROR(INDEX(Dengue_CAses!$D$2:$D$13,MATCH(E26,Dengue_CAses!$E$2:$E$13,0)),0)</f>
        <v>64</v>
      </c>
      <c r="G26">
        <f t="shared" si="1"/>
        <v>43.916472402000004</v>
      </c>
      <c r="H26">
        <f t="shared" si="2"/>
        <v>106.62842515</v>
      </c>
    </row>
    <row r="27" spans="1:8" x14ac:dyDescent="0.25">
      <c r="A27" t="s">
        <v>8</v>
      </c>
      <c r="B27">
        <v>2019</v>
      </c>
      <c r="C27">
        <v>2</v>
      </c>
      <c r="D27">
        <v>0</v>
      </c>
      <c r="E27" t="str">
        <f t="shared" si="0"/>
        <v>2019-2</v>
      </c>
      <c r="F27">
        <f>IFERROR(INDEX(Dengue_CAses!$D$2:$D$13,MATCH(E27,Dengue_CAses!$E$2:$E$13,0)),0)</f>
        <v>72</v>
      </c>
      <c r="G27">
        <f t="shared" si="1"/>
        <v>0.34661178999999998</v>
      </c>
      <c r="H27">
        <f t="shared" si="2"/>
        <v>43.916472402000004</v>
      </c>
    </row>
    <row r="28" spans="1:8" x14ac:dyDescent="0.25">
      <c r="A28" t="s">
        <v>8</v>
      </c>
      <c r="B28">
        <v>2019</v>
      </c>
      <c r="C28">
        <v>3</v>
      </c>
      <c r="D28">
        <v>0</v>
      </c>
      <c r="E28" t="str">
        <f t="shared" si="0"/>
        <v>2019-3</v>
      </c>
      <c r="F28">
        <f>IFERROR(INDEX(Dengue_CAses!$D$2:$D$13,MATCH(E28,Dengue_CAses!$E$2:$E$13,0)),0)</f>
        <v>49</v>
      </c>
      <c r="G28">
        <f t="shared" si="1"/>
        <v>0</v>
      </c>
      <c r="H28">
        <f t="shared" si="2"/>
        <v>0.34661178999999998</v>
      </c>
    </row>
    <row r="29" spans="1:8" x14ac:dyDescent="0.25">
      <c r="A29" t="s">
        <v>8</v>
      </c>
      <c r="B29">
        <v>2019</v>
      </c>
      <c r="C29">
        <v>4</v>
      </c>
      <c r="D29">
        <v>0.22935670899999999</v>
      </c>
      <c r="E29" t="str">
        <f t="shared" si="0"/>
        <v>2019-4</v>
      </c>
      <c r="F29">
        <f>IFERROR(INDEX(Dengue_CAses!$D$2:$D$13,MATCH(E29,Dengue_CAses!$E$2:$E$13,0)),0)</f>
        <v>60</v>
      </c>
      <c r="G29">
        <f t="shared" si="1"/>
        <v>0</v>
      </c>
      <c r="H29">
        <f t="shared" si="2"/>
        <v>0</v>
      </c>
    </row>
    <row r="30" spans="1:8" x14ac:dyDescent="0.25">
      <c r="A30" t="s">
        <v>8</v>
      </c>
      <c r="B30">
        <v>2019</v>
      </c>
      <c r="C30">
        <v>5</v>
      </c>
      <c r="D30">
        <v>13.982447851</v>
      </c>
      <c r="E30" t="str">
        <f t="shared" si="0"/>
        <v>2019-5</v>
      </c>
      <c r="F30">
        <f>IFERROR(INDEX(Dengue_CAses!$D$2:$D$13,MATCH(E30,Dengue_CAses!$E$2:$E$13,0)),0)</f>
        <v>23</v>
      </c>
      <c r="G30">
        <f t="shared" si="1"/>
        <v>0.22935670899999999</v>
      </c>
      <c r="H30">
        <f t="shared" si="2"/>
        <v>0</v>
      </c>
    </row>
    <row r="31" spans="1:8" x14ac:dyDescent="0.25">
      <c r="A31" t="s">
        <v>8</v>
      </c>
      <c r="B31">
        <v>2019</v>
      </c>
      <c r="C31">
        <v>6</v>
      </c>
      <c r="D31">
        <v>14.047029446</v>
      </c>
      <c r="E31" t="str">
        <f t="shared" si="0"/>
        <v>2019-6</v>
      </c>
      <c r="F31">
        <f>IFERROR(INDEX(Dengue_CAses!$D$2:$D$13,MATCH(E31,Dengue_CAses!$E$2:$E$13,0)),0)</f>
        <v>27</v>
      </c>
      <c r="G31">
        <f t="shared" si="1"/>
        <v>13.982447851</v>
      </c>
      <c r="H31">
        <f t="shared" si="2"/>
        <v>0.22935670899999999</v>
      </c>
    </row>
    <row r="32" spans="1:8" x14ac:dyDescent="0.25">
      <c r="A32" t="s">
        <v>8</v>
      </c>
      <c r="B32">
        <v>2019</v>
      </c>
      <c r="C32">
        <v>7</v>
      </c>
      <c r="D32">
        <v>106.98965048300001</v>
      </c>
      <c r="E32" t="str">
        <f t="shared" si="0"/>
        <v>2019-7</v>
      </c>
      <c r="F32">
        <f>IFERROR(INDEX(Dengue_CAses!$D$2:$D$13,MATCH(E32,Dengue_CAses!$E$2:$E$13,0)),0)</f>
        <v>0</v>
      </c>
      <c r="G32">
        <f t="shared" si="1"/>
        <v>14.047029446</v>
      </c>
      <c r="H32">
        <f t="shared" si="2"/>
        <v>13.982447851</v>
      </c>
    </row>
    <row r="33" spans="1:8" x14ac:dyDescent="0.25">
      <c r="A33" t="s">
        <v>8</v>
      </c>
      <c r="B33">
        <v>2019</v>
      </c>
      <c r="C33">
        <v>8</v>
      </c>
      <c r="D33">
        <v>153.041236892</v>
      </c>
      <c r="E33" t="str">
        <f t="shared" si="0"/>
        <v>2019-8</v>
      </c>
      <c r="F33">
        <f>IFERROR(INDEX(Dengue_CAses!$D$2:$D$13,MATCH(E33,Dengue_CAses!$E$2:$E$13,0)),0)</f>
        <v>0</v>
      </c>
      <c r="G33">
        <f t="shared" si="1"/>
        <v>106.98965048300001</v>
      </c>
      <c r="H33">
        <f t="shared" si="2"/>
        <v>14.047029446</v>
      </c>
    </row>
    <row r="34" spans="1:8" x14ac:dyDescent="0.25">
      <c r="A34" t="s">
        <v>8</v>
      </c>
      <c r="B34">
        <v>2019</v>
      </c>
      <c r="C34">
        <v>9</v>
      </c>
      <c r="D34">
        <v>141.01450577899999</v>
      </c>
      <c r="E34" t="str">
        <f t="shared" si="0"/>
        <v>2019-9</v>
      </c>
      <c r="F34">
        <f>IFERROR(INDEX(Dengue_CAses!$D$2:$D$13,MATCH(E34,Dengue_CAses!$E$2:$E$13,0)),0)</f>
        <v>0</v>
      </c>
      <c r="G34">
        <f t="shared" si="1"/>
        <v>153.041236892</v>
      </c>
      <c r="H34">
        <f t="shared" si="2"/>
        <v>106.98965048300001</v>
      </c>
    </row>
    <row r="35" spans="1:8" x14ac:dyDescent="0.25">
      <c r="A35" t="s">
        <v>8</v>
      </c>
      <c r="B35">
        <v>2019</v>
      </c>
      <c r="C35">
        <v>10</v>
      </c>
      <c r="D35">
        <v>238.07444378299999</v>
      </c>
      <c r="E35" t="str">
        <f t="shared" si="0"/>
        <v>2019-10</v>
      </c>
      <c r="F35">
        <f>IFERROR(INDEX(Dengue_CAses!$D$2:$D$13,MATCH(E35,Dengue_CAses!$E$2:$E$13,0)),0)</f>
        <v>0</v>
      </c>
      <c r="G35">
        <f t="shared" si="1"/>
        <v>141.01450577899999</v>
      </c>
      <c r="H35">
        <f t="shared" si="2"/>
        <v>153.041236892</v>
      </c>
    </row>
    <row r="36" spans="1:8" x14ac:dyDescent="0.25">
      <c r="A36" t="s">
        <v>8</v>
      </c>
      <c r="B36">
        <v>2019</v>
      </c>
      <c r="C36">
        <v>11</v>
      </c>
      <c r="D36">
        <v>216.28457588400002</v>
      </c>
      <c r="E36" t="str">
        <f t="shared" si="0"/>
        <v>2019-11</v>
      </c>
      <c r="F36">
        <f>IFERROR(INDEX(Dengue_CAses!$D$2:$D$13,MATCH(E36,Dengue_CAses!$E$2:$E$13,0)),0)</f>
        <v>0</v>
      </c>
      <c r="G36">
        <f t="shared" si="1"/>
        <v>238.07444378299999</v>
      </c>
      <c r="H36">
        <f t="shared" si="2"/>
        <v>141.01450577899999</v>
      </c>
    </row>
    <row r="37" spans="1:8" x14ac:dyDescent="0.25">
      <c r="A37" t="s">
        <v>8</v>
      </c>
      <c r="B37">
        <v>2019</v>
      </c>
      <c r="C37">
        <v>12</v>
      </c>
      <c r="D37">
        <v>246.30506319900002</v>
      </c>
      <c r="E37" t="str">
        <f t="shared" si="0"/>
        <v>2019-12</v>
      </c>
      <c r="F37">
        <f>IFERROR(INDEX(Dengue_CAses!$D$2:$D$13,MATCH(E37,Dengue_CAses!$E$2:$E$13,0)),0)</f>
        <v>0</v>
      </c>
      <c r="G37">
        <f t="shared" si="1"/>
        <v>216.28457588400002</v>
      </c>
      <c r="H37">
        <f t="shared" si="2"/>
        <v>238.07444378299999</v>
      </c>
    </row>
    <row r="38" spans="1:8" x14ac:dyDescent="0.25">
      <c r="A38" t="s">
        <v>10</v>
      </c>
      <c r="B38">
        <v>2019</v>
      </c>
      <c r="C38">
        <v>1</v>
      </c>
      <c r="D38">
        <v>4.8676037790000004</v>
      </c>
      <c r="E38" t="str">
        <f t="shared" si="0"/>
        <v>2019-1</v>
      </c>
      <c r="F38">
        <f>IFERROR(INDEX(Dengue_CAses!$D$2:$D$13,MATCH(E38,Dengue_CAses!$E$2:$E$13,0)),0)</f>
        <v>64</v>
      </c>
      <c r="G38">
        <f t="shared" si="1"/>
        <v>246.30506319900002</v>
      </c>
      <c r="H38">
        <f t="shared" si="2"/>
        <v>216.28457588400002</v>
      </c>
    </row>
    <row r="39" spans="1:8" x14ac:dyDescent="0.25">
      <c r="A39" t="s">
        <v>10</v>
      </c>
      <c r="B39">
        <v>2019</v>
      </c>
      <c r="C39">
        <v>2</v>
      </c>
      <c r="D39">
        <v>0</v>
      </c>
      <c r="E39" t="str">
        <f t="shared" si="0"/>
        <v>2019-2</v>
      </c>
      <c r="F39">
        <f>IFERROR(INDEX(Dengue_CAses!$D$2:$D$13,MATCH(E39,Dengue_CAses!$E$2:$E$13,0)),0)</f>
        <v>72</v>
      </c>
      <c r="G39">
        <f t="shared" si="1"/>
        <v>4.8676037790000004</v>
      </c>
      <c r="H39">
        <f t="shared" si="2"/>
        <v>246.30506319900002</v>
      </c>
    </row>
    <row r="40" spans="1:8" x14ac:dyDescent="0.25">
      <c r="A40" t="s">
        <v>10</v>
      </c>
      <c r="B40">
        <v>2019</v>
      </c>
      <c r="C40">
        <v>3</v>
      </c>
      <c r="D40">
        <v>17.475863099999998</v>
      </c>
      <c r="E40" t="str">
        <f t="shared" si="0"/>
        <v>2019-3</v>
      </c>
      <c r="F40">
        <f>IFERROR(INDEX(Dengue_CAses!$D$2:$D$13,MATCH(E40,Dengue_CAses!$E$2:$E$13,0)),0)</f>
        <v>49</v>
      </c>
      <c r="G40">
        <f t="shared" si="1"/>
        <v>0</v>
      </c>
      <c r="H40">
        <f t="shared" si="2"/>
        <v>4.8676037790000004</v>
      </c>
    </row>
    <row r="41" spans="1:8" x14ac:dyDescent="0.25">
      <c r="A41" t="s">
        <v>10</v>
      </c>
      <c r="B41">
        <v>2019</v>
      </c>
      <c r="C41">
        <v>4</v>
      </c>
      <c r="D41">
        <v>56.234339715999994</v>
      </c>
      <c r="E41" t="str">
        <f t="shared" si="0"/>
        <v>2019-4</v>
      </c>
      <c r="F41">
        <f>IFERROR(INDEX(Dengue_CAses!$D$2:$D$13,MATCH(E41,Dengue_CAses!$E$2:$E$13,0)),0)</f>
        <v>60</v>
      </c>
      <c r="G41">
        <f t="shared" si="1"/>
        <v>17.475863099999998</v>
      </c>
      <c r="H41">
        <f t="shared" si="2"/>
        <v>0</v>
      </c>
    </row>
    <row r="42" spans="1:8" x14ac:dyDescent="0.25">
      <c r="A42" t="s">
        <v>10</v>
      </c>
      <c r="B42">
        <v>2019</v>
      </c>
      <c r="C42">
        <v>5</v>
      </c>
      <c r="D42">
        <v>47.968110658000001</v>
      </c>
      <c r="E42" t="str">
        <f t="shared" si="0"/>
        <v>2019-5</v>
      </c>
      <c r="F42">
        <f>IFERROR(INDEX(Dengue_CAses!$D$2:$D$13,MATCH(E42,Dengue_CAses!$E$2:$E$13,0)),0)</f>
        <v>23</v>
      </c>
      <c r="G42">
        <f t="shared" si="1"/>
        <v>56.234339715999994</v>
      </c>
      <c r="H42">
        <f t="shared" si="2"/>
        <v>17.475863099999998</v>
      </c>
    </row>
    <row r="43" spans="1:8" x14ac:dyDescent="0.25">
      <c r="A43" t="s">
        <v>10</v>
      </c>
      <c r="B43">
        <v>2019</v>
      </c>
      <c r="C43">
        <v>6</v>
      </c>
      <c r="D43">
        <v>102.87549728099999</v>
      </c>
      <c r="E43" t="str">
        <f t="shared" si="0"/>
        <v>2019-6</v>
      </c>
      <c r="F43">
        <f>IFERROR(INDEX(Dengue_CAses!$D$2:$D$13,MATCH(E43,Dengue_CAses!$E$2:$E$13,0)),0)</f>
        <v>27</v>
      </c>
      <c r="G43">
        <f t="shared" si="1"/>
        <v>47.968110658000001</v>
      </c>
      <c r="H43">
        <f t="shared" si="2"/>
        <v>56.234339715999994</v>
      </c>
    </row>
    <row r="44" spans="1:8" x14ac:dyDescent="0.25">
      <c r="A44" t="s">
        <v>10</v>
      </c>
      <c r="B44">
        <v>2019</v>
      </c>
      <c r="C44">
        <v>7</v>
      </c>
      <c r="D44">
        <v>224.05075443200002</v>
      </c>
      <c r="E44" t="str">
        <f t="shared" si="0"/>
        <v>2019-7</v>
      </c>
      <c r="F44">
        <f>IFERROR(INDEX(Dengue_CAses!$D$2:$D$13,MATCH(E44,Dengue_CAses!$E$2:$E$13,0)),0)</f>
        <v>0</v>
      </c>
      <c r="G44">
        <f t="shared" si="1"/>
        <v>102.87549728099999</v>
      </c>
      <c r="H44">
        <f t="shared" si="2"/>
        <v>47.968110658000001</v>
      </c>
    </row>
    <row r="45" spans="1:8" x14ac:dyDescent="0.25">
      <c r="A45" t="s">
        <v>10</v>
      </c>
      <c r="B45">
        <v>2019</v>
      </c>
      <c r="C45">
        <v>8</v>
      </c>
      <c r="D45">
        <v>258.95740243900002</v>
      </c>
      <c r="E45" t="str">
        <f t="shared" si="0"/>
        <v>2019-8</v>
      </c>
      <c r="F45">
        <f>IFERROR(INDEX(Dengue_CAses!$D$2:$D$13,MATCH(E45,Dengue_CAses!$E$2:$E$13,0)),0)</f>
        <v>0</v>
      </c>
      <c r="G45">
        <f t="shared" si="1"/>
        <v>224.05075443200002</v>
      </c>
      <c r="H45">
        <f t="shared" si="2"/>
        <v>102.87549728099999</v>
      </c>
    </row>
    <row r="46" spans="1:8" x14ac:dyDescent="0.25">
      <c r="A46" t="s">
        <v>10</v>
      </c>
      <c r="B46">
        <v>2019</v>
      </c>
      <c r="C46">
        <v>9</v>
      </c>
      <c r="D46">
        <v>217.63690120800004</v>
      </c>
      <c r="E46" t="str">
        <f t="shared" si="0"/>
        <v>2019-9</v>
      </c>
      <c r="F46">
        <f>IFERROR(INDEX(Dengue_CAses!$D$2:$D$13,MATCH(E46,Dengue_CAses!$E$2:$E$13,0)),0)</f>
        <v>0</v>
      </c>
      <c r="G46">
        <f t="shared" si="1"/>
        <v>258.95740243900002</v>
      </c>
      <c r="H46">
        <f t="shared" si="2"/>
        <v>224.05075443200002</v>
      </c>
    </row>
    <row r="47" spans="1:8" x14ac:dyDescent="0.25">
      <c r="A47" t="s">
        <v>10</v>
      </c>
      <c r="B47">
        <v>2019</v>
      </c>
      <c r="C47">
        <v>10</v>
      </c>
      <c r="D47">
        <v>213.04490292300005</v>
      </c>
      <c r="E47" t="str">
        <f t="shared" si="0"/>
        <v>2019-10</v>
      </c>
      <c r="F47">
        <f>IFERROR(INDEX(Dengue_CAses!$D$2:$D$13,MATCH(E47,Dengue_CAses!$E$2:$E$13,0)),0)</f>
        <v>0</v>
      </c>
      <c r="G47">
        <f t="shared" si="1"/>
        <v>217.63690120800004</v>
      </c>
      <c r="H47">
        <f t="shared" si="2"/>
        <v>258.95740243900002</v>
      </c>
    </row>
    <row r="48" spans="1:8" x14ac:dyDescent="0.25">
      <c r="A48" t="s">
        <v>10</v>
      </c>
      <c r="B48">
        <v>2019</v>
      </c>
      <c r="C48">
        <v>11</v>
      </c>
      <c r="D48">
        <v>10.345064163</v>
      </c>
      <c r="E48" t="str">
        <f t="shared" si="0"/>
        <v>2019-11</v>
      </c>
      <c r="F48">
        <f>IFERROR(INDEX(Dengue_CAses!$D$2:$D$13,MATCH(E48,Dengue_CAses!$E$2:$E$13,0)),0)</f>
        <v>0</v>
      </c>
      <c r="G48">
        <f t="shared" si="1"/>
        <v>213.04490292300005</v>
      </c>
      <c r="H48">
        <f t="shared" si="2"/>
        <v>217.63690120800004</v>
      </c>
    </row>
    <row r="49" spans="1:8" x14ac:dyDescent="0.25">
      <c r="A49" t="s">
        <v>10</v>
      </c>
      <c r="B49">
        <v>2019</v>
      </c>
      <c r="C49">
        <v>12</v>
      </c>
      <c r="D49">
        <v>0.27743479599999998</v>
      </c>
      <c r="E49" t="str">
        <f t="shared" si="0"/>
        <v>2019-12</v>
      </c>
      <c r="F49">
        <f>IFERROR(INDEX(Dengue_CAses!$D$2:$D$13,MATCH(E49,Dengue_CAses!$E$2:$E$13,0)),0)</f>
        <v>0</v>
      </c>
      <c r="G49">
        <f t="shared" si="1"/>
        <v>10.345064163</v>
      </c>
      <c r="H49">
        <f t="shared" si="2"/>
        <v>213.04490292300005</v>
      </c>
    </row>
    <row r="55" spans="1:8" x14ac:dyDescent="0.25">
      <c r="A55" s="6" t="s">
        <v>81</v>
      </c>
    </row>
    <row r="56" spans="1:8" x14ac:dyDescent="0.25">
      <c r="A56" t="s">
        <v>82</v>
      </c>
      <c r="B56" t="s">
        <v>83</v>
      </c>
    </row>
    <row r="57" spans="1:8" x14ac:dyDescent="0.25">
      <c r="A57" s="6" t="s">
        <v>81</v>
      </c>
    </row>
    <row r="59" spans="1:8" x14ac:dyDescent="0.25">
      <c r="A59" t="s">
        <v>84</v>
      </c>
      <c r="B59" t="s">
        <v>85</v>
      </c>
    </row>
    <row r="60" spans="1:8" x14ac:dyDescent="0.25">
      <c r="A60" t="s">
        <v>86</v>
      </c>
      <c r="B60" s="7">
        <f>CORREL(D2:D49,F2:F49)</f>
        <v>-0.45617370833826326</v>
      </c>
    </row>
    <row r="61" spans="1:8" x14ac:dyDescent="0.25">
      <c r="A61" t="s">
        <v>87</v>
      </c>
      <c r="B61" s="7">
        <f>CORREL(G3:G49,F3:F49)</f>
        <v>-0.39818084208715104</v>
      </c>
    </row>
    <row r="62" spans="1:8" x14ac:dyDescent="0.25">
      <c r="A62" t="s">
        <v>88</v>
      </c>
      <c r="B62" s="7">
        <f>CORREL(H4:H49,F4:F49)</f>
        <v>-0.25862290143588096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1D6A-4979-430E-A323-D259592A9FDC}">
  <dimension ref="A1:G11"/>
  <sheetViews>
    <sheetView tabSelected="1" workbookViewId="0">
      <selection activeCell="B9" sqref="B9"/>
    </sheetView>
  </sheetViews>
  <sheetFormatPr defaultRowHeight="15" x14ac:dyDescent="0.25"/>
  <sheetData>
    <row r="1" spans="1:7" x14ac:dyDescent="0.25">
      <c r="A1" t="s">
        <v>4</v>
      </c>
      <c r="B1" t="s">
        <v>75</v>
      </c>
      <c r="C1" t="s">
        <v>78</v>
      </c>
      <c r="F1" t="s">
        <v>1</v>
      </c>
      <c r="G1" t="s">
        <v>75</v>
      </c>
    </row>
    <row r="2" spans="1:7" x14ac:dyDescent="0.25">
      <c r="A2">
        <v>1</v>
      </c>
      <c r="B2">
        <v>0.34661178999999998</v>
      </c>
      <c r="C2">
        <v>64</v>
      </c>
      <c r="F2" t="s">
        <v>8</v>
      </c>
      <c r="G2">
        <f>SUMIF(Merged_Analysis!A:A,"Pondicherry",Merged_Analysis!D:D)</f>
        <v>1130.3149218160002</v>
      </c>
    </row>
    <row r="3" spans="1:7" x14ac:dyDescent="0.25">
      <c r="A3">
        <v>2</v>
      </c>
      <c r="B3">
        <v>0</v>
      </c>
      <c r="C3">
        <v>72</v>
      </c>
      <c r="F3" t="s">
        <v>11</v>
      </c>
      <c r="G3">
        <f>SUMIF(Merged_Analysis!A:A,"Karaikal",Merged_Analysis!D:D)</f>
        <v>1384.2244108999998</v>
      </c>
    </row>
    <row r="4" spans="1:7" x14ac:dyDescent="0.25">
      <c r="A4">
        <v>3</v>
      </c>
      <c r="B4">
        <v>0</v>
      </c>
      <c r="C4">
        <v>49</v>
      </c>
      <c r="F4" t="s">
        <v>12</v>
      </c>
      <c r="G4">
        <f>SUMIF(Merged_Analysis!A:A,"Mahe",Merged_Analysis!D:D)</f>
        <v>4426.9430936789995</v>
      </c>
    </row>
    <row r="5" spans="1:7" x14ac:dyDescent="0.25">
      <c r="A5">
        <v>4</v>
      </c>
      <c r="B5">
        <v>0.22935670899999999</v>
      </c>
      <c r="C5">
        <v>60</v>
      </c>
      <c r="F5" t="s">
        <v>10</v>
      </c>
      <c r="G5">
        <f>SUMIF(Merged_Analysis!A:A,"Yanam",Merged_Analysis!D:D)</f>
        <v>1153.7338744950002</v>
      </c>
    </row>
    <row r="6" spans="1:7" x14ac:dyDescent="0.25">
      <c r="A6">
        <v>5</v>
      </c>
      <c r="B6">
        <v>13.982447851</v>
      </c>
      <c r="C6">
        <v>23</v>
      </c>
    </row>
    <row r="7" spans="1:7" x14ac:dyDescent="0.25">
      <c r="A7">
        <v>6</v>
      </c>
      <c r="B7">
        <v>14.047029446</v>
      </c>
      <c r="C7">
        <v>27</v>
      </c>
    </row>
    <row r="8" spans="1:7" x14ac:dyDescent="0.25">
      <c r="F8" t="s">
        <v>95</v>
      </c>
      <c r="G8" t="s">
        <v>96</v>
      </c>
    </row>
    <row r="9" spans="1:7" x14ac:dyDescent="0.25">
      <c r="F9" t="s">
        <v>97</v>
      </c>
      <c r="G9">
        <v>-0.33300000000000002</v>
      </c>
    </row>
    <row r="10" spans="1:7" x14ac:dyDescent="0.25">
      <c r="F10" t="s">
        <v>99</v>
      </c>
      <c r="G10">
        <v>0.161</v>
      </c>
    </row>
    <row r="11" spans="1:7" x14ac:dyDescent="0.25">
      <c r="F11" t="s">
        <v>98</v>
      </c>
      <c r="G11">
        <v>0.54700000000000004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81FA3-C432-47C4-9076-352F65D4647F}">
  <sheetPr filterMode="1"/>
  <dimension ref="A1:H62"/>
  <sheetViews>
    <sheetView workbookViewId="0">
      <selection activeCell="F1" activeCellId="2" sqref="C1:C1048576 D1:D1048576 F1:F1048576"/>
    </sheetView>
  </sheetViews>
  <sheetFormatPr defaultRowHeight="15" x14ac:dyDescent="0.25"/>
  <sheetData>
    <row r="1" spans="1:8" x14ac:dyDescent="0.25">
      <c r="A1" t="s">
        <v>1</v>
      </c>
      <c r="B1" t="s">
        <v>3</v>
      </c>
      <c r="C1" t="s">
        <v>4</v>
      </c>
      <c r="D1" t="s">
        <v>75</v>
      </c>
      <c r="E1" t="s">
        <v>77</v>
      </c>
      <c r="F1" t="s">
        <v>78</v>
      </c>
      <c r="G1" t="s">
        <v>79</v>
      </c>
      <c r="H1" t="s">
        <v>80</v>
      </c>
    </row>
    <row r="2" spans="1:8" hidden="1" x14ac:dyDescent="0.25">
      <c r="A2" t="s">
        <v>11</v>
      </c>
      <c r="B2">
        <v>2019</v>
      </c>
      <c r="C2">
        <v>1</v>
      </c>
      <c r="D2">
        <v>0</v>
      </c>
      <c r="E2" t="str">
        <f xml:space="preserve"> B2&amp;"-"&amp;C2</f>
        <v>2019-1</v>
      </c>
      <c r="F2">
        <f>IFERROR(INDEX(Dengue_CAses!$D$2:$D$13,MATCH(E2,Dengue_CAses!$E$2:$E$13,0)),0)</f>
        <v>64</v>
      </c>
    </row>
    <row r="3" spans="1:8" hidden="1" x14ac:dyDescent="0.25">
      <c r="A3" t="s">
        <v>11</v>
      </c>
      <c r="B3">
        <v>2019</v>
      </c>
      <c r="C3">
        <v>2</v>
      </c>
      <c r="D3">
        <v>9.1658143019999994</v>
      </c>
      <c r="E3" t="str">
        <f t="shared" ref="E3:E49" si="0" xml:space="preserve"> B3&amp;"-"&amp;C3</f>
        <v>2019-2</v>
      </c>
      <c r="F3">
        <f>IFERROR(INDEX(Dengue_CAses!$D$2:$D$13,MATCH(E3,Dengue_CAses!$E$2:$E$13,0)),0)</f>
        <v>72</v>
      </c>
      <c r="G3">
        <f>D2</f>
        <v>0</v>
      </c>
    </row>
    <row r="4" spans="1:8" hidden="1" x14ac:dyDescent="0.25">
      <c r="A4" t="s">
        <v>11</v>
      </c>
      <c r="B4">
        <v>2019</v>
      </c>
      <c r="C4">
        <v>3</v>
      </c>
      <c r="D4">
        <v>0.92913429400000003</v>
      </c>
      <c r="E4" t="str">
        <f t="shared" si="0"/>
        <v>2019-3</v>
      </c>
      <c r="F4">
        <f>IFERROR(INDEX(Dengue_CAses!$D$2:$D$13,MATCH(E4,Dengue_CAses!$E$2:$E$13,0)),0)</f>
        <v>49</v>
      </c>
      <c r="G4">
        <f t="shared" ref="G4:G49" si="1">D3</f>
        <v>9.1658143019999994</v>
      </c>
      <c r="H4">
        <f>D2</f>
        <v>0</v>
      </c>
    </row>
    <row r="5" spans="1:8" hidden="1" x14ac:dyDescent="0.25">
      <c r="A5" t="s">
        <v>11</v>
      </c>
      <c r="B5">
        <v>2019</v>
      </c>
      <c r="C5">
        <v>4</v>
      </c>
      <c r="D5">
        <v>0.15261143900000002</v>
      </c>
      <c r="E5" t="str">
        <f t="shared" si="0"/>
        <v>2019-4</v>
      </c>
      <c r="F5">
        <f>IFERROR(INDEX(Dengue_CAses!$D$2:$D$13,MATCH(E5,Dengue_CAses!$E$2:$E$13,0)),0)</f>
        <v>60</v>
      </c>
      <c r="G5">
        <f t="shared" si="1"/>
        <v>0.92913429400000003</v>
      </c>
      <c r="H5">
        <f t="shared" ref="H5:H49" si="2">D3</f>
        <v>9.1658143019999994</v>
      </c>
    </row>
    <row r="6" spans="1:8" hidden="1" x14ac:dyDescent="0.25">
      <c r="A6" t="s">
        <v>11</v>
      </c>
      <c r="B6">
        <v>2019</v>
      </c>
      <c r="C6">
        <v>5</v>
      </c>
      <c r="D6">
        <v>0</v>
      </c>
      <c r="E6" t="str">
        <f t="shared" si="0"/>
        <v>2019-5</v>
      </c>
      <c r="F6">
        <f>IFERROR(INDEX(Dengue_CAses!$D$2:$D$13,MATCH(E6,Dengue_CAses!$E$2:$E$13,0)),0)</f>
        <v>23</v>
      </c>
      <c r="G6">
        <f t="shared" si="1"/>
        <v>0.15261143900000002</v>
      </c>
      <c r="H6">
        <f t="shared" si="2"/>
        <v>0.92913429400000003</v>
      </c>
    </row>
    <row r="7" spans="1:8" hidden="1" x14ac:dyDescent="0.25">
      <c r="A7" t="s">
        <v>11</v>
      </c>
      <c r="B7">
        <v>2019</v>
      </c>
      <c r="C7">
        <v>6</v>
      </c>
      <c r="D7">
        <v>13.349442033000001</v>
      </c>
      <c r="E7" t="str">
        <f t="shared" si="0"/>
        <v>2019-6</v>
      </c>
      <c r="F7">
        <f>IFERROR(INDEX(Dengue_CAses!$D$2:$D$13,MATCH(E7,Dengue_CAses!$E$2:$E$13,0)),0)</f>
        <v>27</v>
      </c>
      <c r="G7">
        <f t="shared" si="1"/>
        <v>0</v>
      </c>
      <c r="H7">
        <f t="shared" si="2"/>
        <v>0.15261143900000002</v>
      </c>
    </row>
    <row r="8" spans="1:8" hidden="1" x14ac:dyDescent="0.25">
      <c r="A8" t="s">
        <v>11</v>
      </c>
      <c r="B8">
        <v>2019</v>
      </c>
      <c r="C8">
        <v>7</v>
      </c>
      <c r="D8">
        <v>23.672271503999998</v>
      </c>
      <c r="E8" t="str">
        <f t="shared" si="0"/>
        <v>2019-7</v>
      </c>
      <c r="G8">
        <f t="shared" si="1"/>
        <v>13.349442033000001</v>
      </c>
      <c r="H8">
        <f t="shared" si="2"/>
        <v>0</v>
      </c>
    </row>
    <row r="9" spans="1:8" hidden="1" x14ac:dyDescent="0.25">
      <c r="A9" t="s">
        <v>11</v>
      </c>
      <c r="B9">
        <v>2019</v>
      </c>
      <c r="C9">
        <v>8</v>
      </c>
      <c r="D9">
        <v>109.449435718</v>
      </c>
      <c r="E9" t="str">
        <f t="shared" si="0"/>
        <v>2019-8</v>
      </c>
      <c r="G9">
        <f t="shared" si="1"/>
        <v>23.672271503999998</v>
      </c>
      <c r="H9">
        <f t="shared" si="2"/>
        <v>13.349442033000001</v>
      </c>
    </row>
    <row r="10" spans="1:8" hidden="1" x14ac:dyDescent="0.25">
      <c r="A10" t="s">
        <v>11</v>
      </c>
      <c r="B10">
        <v>2019</v>
      </c>
      <c r="C10">
        <v>9</v>
      </c>
      <c r="D10">
        <v>178.713266258</v>
      </c>
      <c r="E10" t="str">
        <f t="shared" si="0"/>
        <v>2019-9</v>
      </c>
      <c r="G10">
        <f t="shared" si="1"/>
        <v>109.449435718</v>
      </c>
      <c r="H10">
        <f t="shared" si="2"/>
        <v>23.672271503999998</v>
      </c>
    </row>
    <row r="11" spans="1:8" hidden="1" x14ac:dyDescent="0.25">
      <c r="A11" t="s">
        <v>11</v>
      </c>
      <c r="B11">
        <v>2019</v>
      </c>
      <c r="C11">
        <v>10</v>
      </c>
      <c r="D11">
        <v>339.93209584099998</v>
      </c>
      <c r="E11" t="str">
        <f t="shared" si="0"/>
        <v>2019-10</v>
      </c>
      <c r="G11">
        <f t="shared" si="1"/>
        <v>178.713266258</v>
      </c>
      <c r="H11">
        <f t="shared" si="2"/>
        <v>109.449435718</v>
      </c>
    </row>
    <row r="12" spans="1:8" hidden="1" x14ac:dyDescent="0.25">
      <c r="A12" t="s">
        <v>11</v>
      </c>
      <c r="B12">
        <v>2019</v>
      </c>
      <c r="C12">
        <v>11</v>
      </c>
      <c r="D12">
        <v>353.01901642600001</v>
      </c>
      <c r="E12" t="str">
        <f xml:space="preserve"> B12&amp;"-"&amp;C12</f>
        <v>2019-11</v>
      </c>
      <c r="G12">
        <f t="shared" si="1"/>
        <v>339.93209584099998</v>
      </c>
      <c r="H12">
        <f t="shared" si="2"/>
        <v>178.713266258</v>
      </c>
    </row>
    <row r="13" spans="1:8" hidden="1" x14ac:dyDescent="0.25">
      <c r="A13" t="s">
        <v>11</v>
      </c>
      <c r="B13">
        <v>2019</v>
      </c>
      <c r="C13">
        <v>12</v>
      </c>
      <c r="D13">
        <v>355.84132308499989</v>
      </c>
      <c r="E13" t="str">
        <f t="shared" si="0"/>
        <v>2019-12</v>
      </c>
      <c r="G13">
        <f t="shared" si="1"/>
        <v>353.01901642600001</v>
      </c>
      <c r="H13">
        <f t="shared" si="2"/>
        <v>339.93209584099998</v>
      </c>
    </row>
    <row r="14" spans="1:8" hidden="1" x14ac:dyDescent="0.25">
      <c r="A14" t="s">
        <v>12</v>
      </c>
      <c r="B14">
        <v>2019</v>
      </c>
      <c r="C14">
        <v>1</v>
      </c>
      <c r="D14">
        <v>0</v>
      </c>
      <c r="E14" t="str">
        <f t="shared" si="0"/>
        <v>2019-1</v>
      </c>
      <c r="F14">
        <f>IFERROR(INDEX(Dengue_CAses!$D$2:$D$13,MATCH(E14,Dengue_CAses!$E$2:$E$13,0)),0)</f>
        <v>64</v>
      </c>
      <c r="G14">
        <f t="shared" si="1"/>
        <v>355.84132308499989</v>
      </c>
      <c r="H14">
        <f t="shared" si="2"/>
        <v>353.01901642600001</v>
      </c>
    </row>
    <row r="15" spans="1:8" hidden="1" x14ac:dyDescent="0.25">
      <c r="A15" t="s">
        <v>12</v>
      </c>
      <c r="B15">
        <v>2019</v>
      </c>
      <c r="C15">
        <v>2</v>
      </c>
      <c r="D15">
        <v>0</v>
      </c>
      <c r="E15" t="str">
        <f t="shared" si="0"/>
        <v>2019-2</v>
      </c>
      <c r="F15">
        <f>IFERROR(INDEX(Dengue_CAses!$D$2:$D$13,MATCH(E15,Dengue_CAses!$E$2:$E$13,0)),0)</f>
        <v>72</v>
      </c>
      <c r="G15">
        <f t="shared" si="1"/>
        <v>0</v>
      </c>
      <c r="H15">
        <f t="shared" si="2"/>
        <v>355.84132308499989</v>
      </c>
    </row>
    <row r="16" spans="1:8" hidden="1" x14ac:dyDescent="0.25">
      <c r="A16" t="s">
        <v>12</v>
      </c>
      <c r="B16">
        <v>2019</v>
      </c>
      <c r="C16">
        <v>3</v>
      </c>
      <c r="D16">
        <v>0</v>
      </c>
      <c r="E16" t="str">
        <f t="shared" si="0"/>
        <v>2019-3</v>
      </c>
      <c r="F16">
        <f>IFERROR(INDEX(Dengue_CAses!$D$2:$D$13,MATCH(E16,Dengue_CAses!$E$2:$E$13,0)),0)</f>
        <v>49</v>
      </c>
      <c r="G16">
        <f t="shared" si="1"/>
        <v>0</v>
      </c>
      <c r="H16">
        <f t="shared" si="2"/>
        <v>0</v>
      </c>
    </row>
    <row r="17" spans="1:8" hidden="1" x14ac:dyDescent="0.25">
      <c r="A17" t="s">
        <v>12</v>
      </c>
      <c r="B17">
        <v>2019</v>
      </c>
      <c r="C17">
        <v>4</v>
      </c>
      <c r="D17">
        <v>32.637675527000006</v>
      </c>
      <c r="E17" t="str">
        <f t="shared" si="0"/>
        <v>2019-4</v>
      </c>
      <c r="F17">
        <f>IFERROR(INDEX(Dengue_CAses!$D$2:$D$13,MATCH(E17,Dengue_CAses!$E$2:$E$13,0)),0)</f>
        <v>60</v>
      </c>
      <c r="G17">
        <f t="shared" si="1"/>
        <v>0</v>
      </c>
      <c r="H17">
        <f t="shared" si="2"/>
        <v>0</v>
      </c>
    </row>
    <row r="18" spans="1:8" hidden="1" x14ac:dyDescent="0.25">
      <c r="A18" t="s">
        <v>12</v>
      </c>
      <c r="B18">
        <v>2019</v>
      </c>
      <c r="C18">
        <v>5</v>
      </c>
      <c r="D18">
        <v>41.663589055000003</v>
      </c>
      <c r="E18" t="str">
        <f t="shared" si="0"/>
        <v>2019-5</v>
      </c>
      <c r="F18">
        <f>IFERROR(INDEX(Dengue_CAses!$D$2:$D$13,MATCH(E18,Dengue_CAses!$E$2:$E$13,0)),0)</f>
        <v>23</v>
      </c>
      <c r="G18">
        <f t="shared" si="1"/>
        <v>32.637675527000006</v>
      </c>
      <c r="H18">
        <f t="shared" si="2"/>
        <v>0</v>
      </c>
    </row>
    <row r="19" spans="1:8" hidden="1" x14ac:dyDescent="0.25">
      <c r="A19" t="s">
        <v>12</v>
      </c>
      <c r="B19">
        <v>2019</v>
      </c>
      <c r="C19">
        <v>6</v>
      </c>
      <c r="D19">
        <v>610.44939981499988</v>
      </c>
      <c r="E19" t="str">
        <f t="shared" si="0"/>
        <v>2019-6</v>
      </c>
      <c r="F19">
        <f>IFERROR(INDEX(Dengue_CAses!$D$2:$D$13,MATCH(E19,Dengue_CAses!$E$2:$E$13,0)),0)</f>
        <v>27</v>
      </c>
      <c r="G19">
        <f t="shared" si="1"/>
        <v>41.663589055000003</v>
      </c>
      <c r="H19">
        <f t="shared" si="2"/>
        <v>32.637675527000006</v>
      </c>
    </row>
    <row r="20" spans="1:8" hidden="1" x14ac:dyDescent="0.25">
      <c r="A20" t="s">
        <v>12</v>
      </c>
      <c r="B20">
        <v>2019</v>
      </c>
      <c r="C20">
        <v>7</v>
      </c>
      <c r="D20">
        <v>1076.7193428479998</v>
      </c>
      <c r="E20" t="str">
        <f t="shared" si="0"/>
        <v>2019-7</v>
      </c>
      <c r="G20">
        <f t="shared" si="1"/>
        <v>610.44939981499988</v>
      </c>
      <c r="H20">
        <f t="shared" si="2"/>
        <v>41.663589055000003</v>
      </c>
    </row>
    <row r="21" spans="1:8" hidden="1" x14ac:dyDescent="0.25">
      <c r="A21" t="s">
        <v>12</v>
      </c>
      <c r="B21">
        <v>2019</v>
      </c>
      <c r="C21">
        <v>8</v>
      </c>
      <c r="D21">
        <v>1450.6353487019994</v>
      </c>
      <c r="E21" t="str">
        <f t="shared" si="0"/>
        <v>2019-8</v>
      </c>
      <c r="G21">
        <f t="shared" si="1"/>
        <v>1076.7193428479998</v>
      </c>
      <c r="H21">
        <f t="shared" si="2"/>
        <v>610.44939981499988</v>
      </c>
    </row>
    <row r="22" spans="1:8" hidden="1" x14ac:dyDescent="0.25">
      <c r="A22" t="s">
        <v>12</v>
      </c>
      <c r="B22">
        <v>2019</v>
      </c>
      <c r="C22">
        <v>9</v>
      </c>
      <c r="D22">
        <v>520.47046950899994</v>
      </c>
      <c r="E22" t="str">
        <f t="shared" si="0"/>
        <v>2019-9</v>
      </c>
      <c r="G22">
        <f t="shared" si="1"/>
        <v>1450.6353487019994</v>
      </c>
      <c r="H22">
        <f t="shared" si="2"/>
        <v>1076.7193428479998</v>
      </c>
    </row>
    <row r="23" spans="1:8" hidden="1" x14ac:dyDescent="0.25">
      <c r="A23" t="s">
        <v>12</v>
      </c>
      <c r="B23">
        <v>2019</v>
      </c>
      <c r="C23">
        <v>10</v>
      </c>
      <c r="D23">
        <v>543.82237067100004</v>
      </c>
      <c r="E23" t="str">
        <f t="shared" si="0"/>
        <v>2019-10</v>
      </c>
      <c r="G23">
        <f t="shared" si="1"/>
        <v>520.47046950899994</v>
      </c>
      <c r="H23">
        <f t="shared" si="2"/>
        <v>1450.6353487019994</v>
      </c>
    </row>
    <row r="24" spans="1:8" hidden="1" x14ac:dyDescent="0.25">
      <c r="A24" t="s">
        <v>12</v>
      </c>
      <c r="B24">
        <v>2019</v>
      </c>
      <c r="C24">
        <v>11</v>
      </c>
      <c r="D24">
        <v>106.62842515</v>
      </c>
      <c r="E24" t="str">
        <f t="shared" si="0"/>
        <v>2019-11</v>
      </c>
      <c r="G24">
        <f t="shared" si="1"/>
        <v>543.82237067100004</v>
      </c>
      <c r="H24">
        <f t="shared" si="2"/>
        <v>520.47046950899994</v>
      </c>
    </row>
    <row r="25" spans="1:8" hidden="1" x14ac:dyDescent="0.25">
      <c r="A25" t="s">
        <v>12</v>
      </c>
      <c r="B25">
        <v>2019</v>
      </c>
      <c r="C25">
        <v>12</v>
      </c>
      <c r="D25">
        <v>43.916472402000004</v>
      </c>
      <c r="E25" t="str">
        <f t="shared" si="0"/>
        <v>2019-12</v>
      </c>
      <c r="G25">
        <f t="shared" si="1"/>
        <v>106.62842515</v>
      </c>
      <c r="H25">
        <f t="shared" si="2"/>
        <v>543.82237067100004</v>
      </c>
    </row>
    <row r="26" spans="1:8" x14ac:dyDescent="0.25">
      <c r="A26" t="s">
        <v>8</v>
      </c>
      <c r="B26">
        <v>2019</v>
      </c>
      <c r="C26">
        <v>1</v>
      </c>
      <c r="D26">
        <v>0.34661178999999998</v>
      </c>
      <c r="E26" t="str">
        <f t="shared" si="0"/>
        <v>2019-1</v>
      </c>
      <c r="F26">
        <f>IFERROR(INDEX(Dengue_CAses!$D$2:$D$13,MATCH(E26,Dengue_CAses!$E$2:$E$13,0)),0)</f>
        <v>64</v>
      </c>
      <c r="G26">
        <f t="shared" si="1"/>
        <v>43.916472402000004</v>
      </c>
      <c r="H26">
        <f t="shared" si="2"/>
        <v>106.62842515</v>
      </c>
    </row>
    <row r="27" spans="1:8" x14ac:dyDescent="0.25">
      <c r="A27" t="s">
        <v>8</v>
      </c>
      <c r="B27">
        <v>2019</v>
      </c>
      <c r="C27">
        <v>2</v>
      </c>
      <c r="D27">
        <v>0</v>
      </c>
      <c r="E27" t="str">
        <f t="shared" si="0"/>
        <v>2019-2</v>
      </c>
      <c r="F27">
        <f>IFERROR(INDEX(Dengue_CAses!$D$2:$D$13,MATCH(E27,Dengue_CAses!$E$2:$E$13,0)),0)</f>
        <v>72</v>
      </c>
      <c r="G27">
        <f t="shared" si="1"/>
        <v>0.34661178999999998</v>
      </c>
      <c r="H27">
        <f t="shared" si="2"/>
        <v>43.916472402000004</v>
      </c>
    </row>
    <row r="28" spans="1:8" x14ac:dyDescent="0.25">
      <c r="A28" t="s">
        <v>8</v>
      </c>
      <c r="B28">
        <v>2019</v>
      </c>
      <c r="C28">
        <v>3</v>
      </c>
      <c r="D28">
        <v>0</v>
      </c>
      <c r="E28" t="str">
        <f t="shared" si="0"/>
        <v>2019-3</v>
      </c>
      <c r="F28">
        <f>IFERROR(INDEX(Dengue_CAses!$D$2:$D$13,MATCH(E28,Dengue_CAses!$E$2:$E$13,0)),0)</f>
        <v>49</v>
      </c>
      <c r="G28">
        <f t="shared" si="1"/>
        <v>0</v>
      </c>
      <c r="H28">
        <f t="shared" si="2"/>
        <v>0.34661178999999998</v>
      </c>
    </row>
    <row r="29" spans="1:8" x14ac:dyDescent="0.25">
      <c r="A29" t="s">
        <v>8</v>
      </c>
      <c r="B29">
        <v>2019</v>
      </c>
      <c r="C29">
        <v>4</v>
      </c>
      <c r="D29">
        <v>0.22935670899999999</v>
      </c>
      <c r="E29" t="str">
        <f t="shared" si="0"/>
        <v>2019-4</v>
      </c>
      <c r="F29">
        <f>IFERROR(INDEX(Dengue_CAses!$D$2:$D$13,MATCH(E29,Dengue_CAses!$E$2:$E$13,0)),0)</f>
        <v>60</v>
      </c>
      <c r="G29">
        <f t="shared" si="1"/>
        <v>0</v>
      </c>
      <c r="H29">
        <f t="shared" si="2"/>
        <v>0</v>
      </c>
    </row>
    <row r="30" spans="1:8" x14ac:dyDescent="0.25">
      <c r="A30" t="s">
        <v>8</v>
      </c>
      <c r="B30">
        <v>2019</v>
      </c>
      <c r="C30">
        <v>5</v>
      </c>
      <c r="D30">
        <v>13.982447851</v>
      </c>
      <c r="E30" t="str">
        <f t="shared" si="0"/>
        <v>2019-5</v>
      </c>
      <c r="F30">
        <f>IFERROR(INDEX(Dengue_CAses!$D$2:$D$13,MATCH(E30,Dengue_CAses!$E$2:$E$13,0)),0)</f>
        <v>23</v>
      </c>
      <c r="G30">
        <f t="shared" si="1"/>
        <v>0.22935670899999999</v>
      </c>
      <c r="H30">
        <f t="shared" si="2"/>
        <v>0</v>
      </c>
    </row>
    <row r="31" spans="1:8" x14ac:dyDescent="0.25">
      <c r="A31" t="s">
        <v>8</v>
      </c>
      <c r="B31">
        <v>2019</v>
      </c>
      <c r="C31">
        <v>6</v>
      </c>
      <c r="D31">
        <v>14.047029446</v>
      </c>
      <c r="E31" t="str">
        <f t="shared" si="0"/>
        <v>2019-6</v>
      </c>
      <c r="F31">
        <f>IFERROR(INDEX(Dengue_CAses!$D$2:$D$13,MATCH(E31,Dengue_CAses!$E$2:$E$13,0)),0)</f>
        <v>27</v>
      </c>
      <c r="G31">
        <f t="shared" si="1"/>
        <v>13.982447851</v>
      </c>
      <c r="H31">
        <f t="shared" si="2"/>
        <v>0.22935670899999999</v>
      </c>
    </row>
    <row r="32" spans="1:8" hidden="1" x14ac:dyDescent="0.25">
      <c r="A32" t="s">
        <v>8</v>
      </c>
      <c r="B32">
        <v>2019</v>
      </c>
      <c r="C32">
        <v>7</v>
      </c>
      <c r="D32">
        <v>106.98965048300001</v>
      </c>
      <c r="E32" t="str">
        <f t="shared" si="0"/>
        <v>2019-7</v>
      </c>
      <c r="G32">
        <f t="shared" si="1"/>
        <v>14.047029446</v>
      </c>
      <c r="H32">
        <f t="shared" si="2"/>
        <v>13.982447851</v>
      </c>
    </row>
    <row r="33" spans="1:8" hidden="1" x14ac:dyDescent="0.25">
      <c r="A33" t="s">
        <v>8</v>
      </c>
      <c r="B33">
        <v>2019</v>
      </c>
      <c r="C33">
        <v>8</v>
      </c>
      <c r="D33">
        <v>153.041236892</v>
      </c>
      <c r="E33" t="str">
        <f t="shared" si="0"/>
        <v>2019-8</v>
      </c>
      <c r="G33">
        <f t="shared" si="1"/>
        <v>106.98965048300001</v>
      </c>
      <c r="H33">
        <f t="shared" si="2"/>
        <v>14.047029446</v>
      </c>
    </row>
    <row r="34" spans="1:8" hidden="1" x14ac:dyDescent="0.25">
      <c r="A34" t="s">
        <v>8</v>
      </c>
      <c r="B34">
        <v>2019</v>
      </c>
      <c r="C34">
        <v>9</v>
      </c>
      <c r="D34">
        <v>141.01450577899999</v>
      </c>
      <c r="E34" t="str">
        <f t="shared" si="0"/>
        <v>2019-9</v>
      </c>
      <c r="G34">
        <f t="shared" si="1"/>
        <v>153.041236892</v>
      </c>
      <c r="H34">
        <f t="shared" si="2"/>
        <v>106.98965048300001</v>
      </c>
    </row>
    <row r="35" spans="1:8" hidden="1" x14ac:dyDescent="0.25">
      <c r="A35" t="s">
        <v>8</v>
      </c>
      <c r="B35">
        <v>2019</v>
      </c>
      <c r="C35">
        <v>10</v>
      </c>
      <c r="D35">
        <v>238.07444378299999</v>
      </c>
      <c r="E35" t="str">
        <f t="shared" si="0"/>
        <v>2019-10</v>
      </c>
      <c r="G35">
        <f t="shared" si="1"/>
        <v>141.01450577899999</v>
      </c>
      <c r="H35">
        <f t="shared" si="2"/>
        <v>153.041236892</v>
      </c>
    </row>
    <row r="36" spans="1:8" hidden="1" x14ac:dyDescent="0.25">
      <c r="A36" t="s">
        <v>8</v>
      </c>
      <c r="B36">
        <v>2019</v>
      </c>
      <c r="C36">
        <v>11</v>
      </c>
      <c r="D36">
        <v>216.28457588400002</v>
      </c>
      <c r="E36" t="str">
        <f t="shared" si="0"/>
        <v>2019-11</v>
      </c>
      <c r="G36">
        <f t="shared" si="1"/>
        <v>238.07444378299999</v>
      </c>
      <c r="H36">
        <f t="shared" si="2"/>
        <v>141.01450577899999</v>
      </c>
    </row>
    <row r="37" spans="1:8" hidden="1" x14ac:dyDescent="0.25">
      <c r="A37" t="s">
        <v>8</v>
      </c>
      <c r="B37">
        <v>2019</v>
      </c>
      <c r="C37">
        <v>12</v>
      </c>
      <c r="D37">
        <v>246.30506319900002</v>
      </c>
      <c r="E37" t="str">
        <f t="shared" si="0"/>
        <v>2019-12</v>
      </c>
      <c r="G37">
        <f t="shared" si="1"/>
        <v>216.28457588400002</v>
      </c>
      <c r="H37">
        <f t="shared" si="2"/>
        <v>238.07444378299999</v>
      </c>
    </row>
    <row r="38" spans="1:8" hidden="1" x14ac:dyDescent="0.25">
      <c r="A38" t="s">
        <v>10</v>
      </c>
      <c r="B38">
        <v>2019</v>
      </c>
      <c r="C38">
        <v>1</v>
      </c>
      <c r="D38">
        <v>4.8676037790000004</v>
      </c>
      <c r="E38" t="str">
        <f t="shared" si="0"/>
        <v>2019-1</v>
      </c>
      <c r="F38">
        <f>IFERROR(INDEX(Dengue_CAses!$D$2:$D$13,MATCH(E38,Dengue_CAses!$E$2:$E$13,0)),0)</f>
        <v>64</v>
      </c>
      <c r="G38">
        <f t="shared" si="1"/>
        <v>246.30506319900002</v>
      </c>
      <c r="H38">
        <f t="shared" si="2"/>
        <v>216.28457588400002</v>
      </c>
    </row>
    <row r="39" spans="1:8" hidden="1" x14ac:dyDescent="0.25">
      <c r="A39" t="s">
        <v>10</v>
      </c>
      <c r="B39">
        <v>2019</v>
      </c>
      <c r="C39">
        <v>2</v>
      </c>
      <c r="D39">
        <v>0</v>
      </c>
      <c r="E39" t="str">
        <f t="shared" si="0"/>
        <v>2019-2</v>
      </c>
      <c r="F39">
        <f>IFERROR(INDEX(Dengue_CAses!$D$2:$D$13,MATCH(E39,Dengue_CAses!$E$2:$E$13,0)),0)</f>
        <v>72</v>
      </c>
      <c r="G39">
        <f t="shared" si="1"/>
        <v>4.8676037790000004</v>
      </c>
      <c r="H39">
        <f t="shared" si="2"/>
        <v>246.30506319900002</v>
      </c>
    </row>
    <row r="40" spans="1:8" hidden="1" x14ac:dyDescent="0.25">
      <c r="A40" t="s">
        <v>10</v>
      </c>
      <c r="B40">
        <v>2019</v>
      </c>
      <c r="C40">
        <v>3</v>
      </c>
      <c r="D40">
        <v>17.475863099999998</v>
      </c>
      <c r="E40" t="str">
        <f t="shared" si="0"/>
        <v>2019-3</v>
      </c>
      <c r="F40">
        <f>IFERROR(INDEX(Dengue_CAses!$D$2:$D$13,MATCH(E40,Dengue_CAses!$E$2:$E$13,0)),0)</f>
        <v>49</v>
      </c>
      <c r="G40">
        <f t="shared" si="1"/>
        <v>0</v>
      </c>
      <c r="H40">
        <f t="shared" si="2"/>
        <v>4.8676037790000004</v>
      </c>
    </row>
    <row r="41" spans="1:8" hidden="1" x14ac:dyDescent="0.25">
      <c r="A41" t="s">
        <v>10</v>
      </c>
      <c r="B41">
        <v>2019</v>
      </c>
      <c r="C41">
        <v>4</v>
      </c>
      <c r="D41">
        <v>56.234339715999994</v>
      </c>
      <c r="E41" t="str">
        <f t="shared" si="0"/>
        <v>2019-4</v>
      </c>
      <c r="F41">
        <f>IFERROR(INDEX(Dengue_CAses!$D$2:$D$13,MATCH(E41,Dengue_CAses!$E$2:$E$13,0)),0)</f>
        <v>60</v>
      </c>
      <c r="G41">
        <f t="shared" si="1"/>
        <v>17.475863099999998</v>
      </c>
      <c r="H41">
        <f t="shared" si="2"/>
        <v>0</v>
      </c>
    </row>
    <row r="42" spans="1:8" hidden="1" x14ac:dyDescent="0.25">
      <c r="A42" t="s">
        <v>10</v>
      </c>
      <c r="B42">
        <v>2019</v>
      </c>
      <c r="C42">
        <v>5</v>
      </c>
      <c r="D42">
        <v>47.968110658000001</v>
      </c>
      <c r="E42" t="str">
        <f t="shared" si="0"/>
        <v>2019-5</v>
      </c>
      <c r="F42">
        <f>IFERROR(INDEX(Dengue_CAses!$D$2:$D$13,MATCH(E42,Dengue_CAses!$E$2:$E$13,0)),0)</f>
        <v>23</v>
      </c>
      <c r="G42">
        <f t="shared" si="1"/>
        <v>56.234339715999994</v>
      </c>
      <c r="H42">
        <f t="shared" si="2"/>
        <v>17.475863099999998</v>
      </c>
    </row>
    <row r="43" spans="1:8" hidden="1" x14ac:dyDescent="0.25">
      <c r="A43" t="s">
        <v>10</v>
      </c>
      <c r="B43">
        <v>2019</v>
      </c>
      <c r="C43">
        <v>6</v>
      </c>
      <c r="D43">
        <v>102.87549728099999</v>
      </c>
      <c r="E43" t="str">
        <f t="shared" si="0"/>
        <v>2019-6</v>
      </c>
      <c r="F43">
        <f>IFERROR(INDEX(Dengue_CAses!$D$2:$D$13,MATCH(E43,Dengue_CAses!$E$2:$E$13,0)),0)</f>
        <v>27</v>
      </c>
      <c r="G43">
        <f t="shared" si="1"/>
        <v>47.968110658000001</v>
      </c>
      <c r="H43">
        <f t="shared" si="2"/>
        <v>56.234339715999994</v>
      </c>
    </row>
    <row r="44" spans="1:8" hidden="1" x14ac:dyDescent="0.25">
      <c r="A44" t="s">
        <v>10</v>
      </c>
      <c r="B44">
        <v>2019</v>
      </c>
      <c r="C44">
        <v>7</v>
      </c>
      <c r="D44">
        <v>224.05075443200002</v>
      </c>
      <c r="E44" t="str">
        <f t="shared" si="0"/>
        <v>2019-7</v>
      </c>
      <c r="G44">
        <f t="shared" si="1"/>
        <v>102.87549728099999</v>
      </c>
      <c r="H44">
        <f t="shared" si="2"/>
        <v>47.968110658000001</v>
      </c>
    </row>
    <row r="45" spans="1:8" hidden="1" x14ac:dyDescent="0.25">
      <c r="A45" t="s">
        <v>10</v>
      </c>
      <c r="B45">
        <v>2019</v>
      </c>
      <c r="C45">
        <v>8</v>
      </c>
      <c r="D45">
        <v>258.95740243900002</v>
      </c>
      <c r="E45" t="str">
        <f t="shared" si="0"/>
        <v>2019-8</v>
      </c>
      <c r="G45">
        <f t="shared" si="1"/>
        <v>224.05075443200002</v>
      </c>
      <c r="H45">
        <f t="shared" si="2"/>
        <v>102.87549728099999</v>
      </c>
    </row>
    <row r="46" spans="1:8" hidden="1" x14ac:dyDescent="0.25">
      <c r="A46" t="s">
        <v>10</v>
      </c>
      <c r="B46">
        <v>2019</v>
      </c>
      <c r="C46">
        <v>9</v>
      </c>
      <c r="D46">
        <v>217.63690120800004</v>
      </c>
      <c r="E46" t="str">
        <f t="shared" si="0"/>
        <v>2019-9</v>
      </c>
      <c r="G46">
        <f t="shared" si="1"/>
        <v>258.95740243900002</v>
      </c>
      <c r="H46">
        <f t="shared" si="2"/>
        <v>224.05075443200002</v>
      </c>
    </row>
    <row r="47" spans="1:8" hidden="1" x14ac:dyDescent="0.25">
      <c r="A47" t="s">
        <v>10</v>
      </c>
      <c r="B47">
        <v>2019</v>
      </c>
      <c r="C47">
        <v>10</v>
      </c>
      <c r="D47">
        <v>213.04490292300005</v>
      </c>
      <c r="E47" t="str">
        <f t="shared" si="0"/>
        <v>2019-10</v>
      </c>
      <c r="G47">
        <f t="shared" si="1"/>
        <v>217.63690120800004</v>
      </c>
      <c r="H47">
        <f t="shared" si="2"/>
        <v>258.95740243900002</v>
      </c>
    </row>
    <row r="48" spans="1:8" hidden="1" x14ac:dyDescent="0.25">
      <c r="A48" t="s">
        <v>10</v>
      </c>
      <c r="B48">
        <v>2019</v>
      </c>
      <c r="C48">
        <v>11</v>
      </c>
      <c r="D48">
        <v>10.345064163</v>
      </c>
      <c r="E48" t="str">
        <f t="shared" si="0"/>
        <v>2019-11</v>
      </c>
      <c r="G48">
        <f t="shared" si="1"/>
        <v>213.04490292300005</v>
      </c>
      <c r="H48">
        <f t="shared" si="2"/>
        <v>217.63690120800004</v>
      </c>
    </row>
    <row r="49" spans="1:8" hidden="1" x14ac:dyDescent="0.25">
      <c r="A49" t="s">
        <v>10</v>
      </c>
      <c r="B49">
        <v>2019</v>
      </c>
      <c r="C49">
        <v>12</v>
      </c>
      <c r="D49">
        <v>0.27743479599999998</v>
      </c>
      <c r="E49" t="str">
        <f t="shared" si="0"/>
        <v>2019-12</v>
      </c>
      <c r="G49">
        <f t="shared" si="1"/>
        <v>10.345064163</v>
      </c>
      <c r="H49">
        <f t="shared" si="2"/>
        <v>213.04490292300005</v>
      </c>
    </row>
    <row r="55" spans="1:8" x14ac:dyDescent="0.25">
      <c r="A55" s="6" t="s">
        <v>81</v>
      </c>
    </row>
    <row r="56" spans="1:8" x14ac:dyDescent="0.25">
      <c r="A56" t="s">
        <v>82</v>
      </c>
      <c r="B56" t="s">
        <v>83</v>
      </c>
    </row>
    <row r="57" spans="1:8" x14ac:dyDescent="0.25">
      <c r="A57" s="6" t="s">
        <v>81</v>
      </c>
    </row>
    <row r="59" spans="1:8" x14ac:dyDescent="0.25">
      <c r="A59" t="s">
        <v>84</v>
      </c>
      <c r="B59" t="s">
        <v>85</v>
      </c>
    </row>
    <row r="60" spans="1:8" x14ac:dyDescent="0.25">
      <c r="A60" t="s">
        <v>86</v>
      </c>
      <c r="B60" s="7"/>
      <c r="C60">
        <f>CORREL(D2:D49,F2:F49)</f>
        <v>-0.3333016848722648</v>
      </c>
    </row>
    <row r="61" spans="1:8" x14ac:dyDescent="0.25">
      <c r="A61" t="s">
        <v>87</v>
      </c>
      <c r="B61" s="7"/>
      <c r="C61">
        <f>CORREL(G3:G49,F3:F49)</f>
        <v>0.16135566459112333</v>
      </c>
    </row>
    <row r="62" spans="1:8" x14ac:dyDescent="0.25">
      <c r="A62" t="s">
        <v>88</v>
      </c>
      <c r="B62" s="7"/>
      <c r="C62">
        <f>CORREL(H4:H49,F4:F49)</f>
        <v>0.5474482814160796</v>
      </c>
    </row>
  </sheetData>
  <autoFilter ref="A1:H49" xr:uid="{DB181FA3-C432-47C4-9076-352F65D4647F}">
    <filterColumn colId="0">
      <filters>
        <filter val="Pondicherry"/>
      </filters>
    </filterColumn>
    <filterColumn colId="2">
      <filters>
        <filter val="1"/>
        <filter val="2"/>
        <filter val="3"/>
        <filter val="4"/>
        <filter val="5"/>
        <filter val="6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37D0C-7594-4AA4-9C83-674EB2807AE8}">
  <dimension ref="A1:H7"/>
  <sheetViews>
    <sheetView workbookViewId="0">
      <selection activeCell="F1" activeCellId="2" sqref="C1:C1048576 D1:D1048576 F1:F1048576"/>
    </sheetView>
  </sheetViews>
  <sheetFormatPr defaultRowHeight="15" x14ac:dyDescent="0.25"/>
  <sheetData>
    <row r="1" spans="1:8" x14ac:dyDescent="0.25">
      <c r="A1" t="s">
        <v>1</v>
      </c>
      <c r="B1" t="s">
        <v>3</v>
      </c>
      <c r="C1" t="s">
        <v>4</v>
      </c>
      <c r="D1" t="s">
        <v>75</v>
      </c>
      <c r="E1" t="s">
        <v>77</v>
      </c>
      <c r="F1" t="s">
        <v>78</v>
      </c>
      <c r="G1" t="s">
        <v>79</v>
      </c>
      <c r="H1" t="s">
        <v>80</v>
      </c>
    </row>
    <row r="2" spans="1:8" x14ac:dyDescent="0.25">
      <c r="A2" t="s">
        <v>8</v>
      </c>
      <c r="B2">
        <v>2019</v>
      </c>
      <c r="C2">
        <v>1</v>
      </c>
      <c r="D2">
        <v>0.34661178999999998</v>
      </c>
      <c r="E2" t="s">
        <v>89</v>
      </c>
      <c r="F2">
        <v>64</v>
      </c>
      <c r="G2">
        <v>43.916472402000004</v>
      </c>
      <c r="H2">
        <v>106.62842515</v>
      </c>
    </row>
    <row r="3" spans="1:8" x14ac:dyDescent="0.25">
      <c r="A3" t="s">
        <v>8</v>
      </c>
      <c r="B3">
        <v>2019</v>
      </c>
      <c r="C3">
        <v>2</v>
      </c>
      <c r="D3">
        <v>0</v>
      </c>
      <c r="E3" t="s">
        <v>90</v>
      </c>
      <c r="F3">
        <v>72</v>
      </c>
      <c r="G3">
        <v>0.34661178999999998</v>
      </c>
      <c r="H3">
        <v>43.916472402000004</v>
      </c>
    </row>
    <row r="4" spans="1:8" x14ac:dyDescent="0.25">
      <c r="A4" t="s">
        <v>8</v>
      </c>
      <c r="B4">
        <v>2019</v>
      </c>
      <c r="C4">
        <v>3</v>
      </c>
      <c r="D4">
        <v>0</v>
      </c>
      <c r="E4" t="s">
        <v>91</v>
      </c>
      <c r="F4">
        <v>49</v>
      </c>
      <c r="G4">
        <v>0</v>
      </c>
      <c r="H4">
        <v>0.34661178999999998</v>
      </c>
    </row>
    <row r="5" spans="1:8" x14ac:dyDescent="0.25">
      <c r="A5" t="s">
        <v>8</v>
      </c>
      <c r="B5">
        <v>2019</v>
      </c>
      <c r="C5">
        <v>4</v>
      </c>
      <c r="D5">
        <v>0.22935670899999999</v>
      </c>
      <c r="E5" t="s">
        <v>92</v>
      </c>
      <c r="F5">
        <v>60</v>
      </c>
      <c r="G5">
        <v>0</v>
      </c>
      <c r="H5">
        <v>0</v>
      </c>
    </row>
    <row r="6" spans="1:8" x14ac:dyDescent="0.25">
      <c r="A6" t="s">
        <v>8</v>
      </c>
      <c r="B6">
        <v>2019</v>
      </c>
      <c r="C6">
        <v>5</v>
      </c>
      <c r="D6">
        <v>13.982447851</v>
      </c>
      <c r="E6" t="s">
        <v>93</v>
      </c>
      <c r="F6">
        <v>23</v>
      </c>
      <c r="G6">
        <v>0.22935670899999999</v>
      </c>
      <c r="H6">
        <v>0</v>
      </c>
    </row>
    <row r="7" spans="1:8" x14ac:dyDescent="0.25">
      <c r="A7" t="s">
        <v>8</v>
      </c>
      <c r="B7">
        <v>2019</v>
      </c>
      <c r="C7">
        <v>6</v>
      </c>
      <c r="D7">
        <v>14.047029446</v>
      </c>
      <c r="E7" t="s">
        <v>94</v>
      </c>
      <c r="F7">
        <v>27</v>
      </c>
      <c r="G7">
        <v>13.982447851</v>
      </c>
      <c r="H7">
        <v>0.22935670899999999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80A6-E7C6-4FF5-8953-442CADA65813}">
  <dimension ref="A1:E13"/>
  <sheetViews>
    <sheetView workbookViewId="0">
      <selection activeCell="F13" sqref="F13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76</v>
      </c>
      <c r="E1" t="s">
        <v>77</v>
      </c>
    </row>
    <row r="2" spans="1:5" x14ac:dyDescent="0.25">
      <c r="A2" t="s">
        <v>7</v>
      </c>
      <c r="B2">
        <v>2019</v>
      </c>
      <c r="C2">
        <v>1</v>
      </c>
      <c r="D2">
        <v>64</v>
      </c>
      <c r="E2" t="str">
        <f>B2&amp;"-"&amp;C2</f>
        <v>2019-1</v>
      </c>
    </row>
    <row r="3" spans="1:5" x14ac:dyDescent="0.25">
      <c r="A3" t="s">
        <v>7</v>
      </c>
      <c r="B3">
        <v>2019</v>
      </c>
      <c r="C3">
        <v>2</v>
      </c>
      <c r="D3">
        <v>72</v>
      </c>
      <c r="E3" t="str">
        <f t="shared" ref="E3:E13" si="0">B3&amp;"-"&amp;C3</f>
        <v>2019-2</v>
      </c>
    </row>
    <row r="4" spans="1:5" x14ac:dyDescent="0.25">
      <c r="A4" t="s">
        <v>7</v>
      </c>
      <c r="B4">
        <v>2019</v>
      </c>
      <c r="C4">
        <v>3</v>
      </c>
      <c r="D4">
        <v>49</v>
      </c>
      <c r="E4" t="str">
        <f t="shared" si="0"/>
        <v>2019-3</v>
      </c>
    </row>
    <row r="5" spans="1:5" x14ac:dyDescent="0.25">
      <c r="A5" t="s">
        <v>7</v>
      </c>
      <c r="B5">
        <v>2019</v>
      </c>
      <c r="C5">
        <v>4</v>
      </c>
      <c r="D5">
        <v>60</v>
      </c>
      <c r="E5" t="str">
        <f t="shared" si="0"/>
        <v>2019-4</v>
      </c>
    </row>
    <row r="6" spans="1:5" x14ac:dyDescent="0.25">
      <c r="A6" t="s">
        <v>7</v>
      </c>
      <c r="B6">
        <v>2019</v>
      </c>
      <c r="C6">
        <v>5</v>
      </c>
      <c r="D6">
        <v>23</v>
      </c>
      <c r="E6" t="str">
        <f t="shared" si="0"/>
        <v>2019-5</v>
      </c>
    </row>
    <row r="7" spans="1:5" x14ac:dyDescent="0.25">
      <c r="A7" t="s">
        <v>7</v>
      </c>
      <c r="B7">
        <v>2019</v>
      </c>
      <c r="C7">
        <v>6</v>
      </c>
      <c r="D7">
        <v>27</v>
      </c>
      <c r="E7" t="str">
        <f t="shared" si="0"/>
        <v>2019-6</v>
      </c>
    </row>
    <row r="8" spans="1:5" x14ac:dyDescent="0.25">
      <c r="A8" t="s">
        <v>7</v>
      </c>
      <c r="B8">
        <v>2019</v>
      </c>
      <c r="C8">
        <v>7</v>
      </c>
      <c r="E8" t="str">
        <f t="shared" si="0"/>
        <v>2019-7</v>
      </c>
    </row>
    <row r="9" spans="1:5" x14ac:dyDescent="0.25">
      <c r="A9" t="s">
        <v>7</v>
      </c>
      <c r="B9">
        <v>2019</v>
      </c>
      <c r="C9">
        <v>8</v>
      </c>
      <c r="E9" t="str">
        <f t="shared" si="0"/>
        <v>2019-8</v>
      </c>
    </row>
    <row r="10" spans="1:5" x14ac:dyDescent="0.25">
      <c r="A10" t="s">
        <v>7</v>
      </c>
      <c r="B10">
        <v>2019</v>
      </c>
      <c r="C10">
        <v>9</v>
      </c>
      <c r="E10" t="str">
        <f t="shared" si="0"/>
        <v>2019-9</v>
      </c>
    </row>
    <row r="11" spans="1:5" x14ac:dyDescent="0.25">
      <c r="A11" t="s">
        <v>7</v>
      </c>
      <c r="B11">
        <v>2019</v>
      </c>
      <c r="C11">
        <v>10</v>
      </c>
      <c r="E11" t="str">
        <f t="shared" si="0"/>
        <v>2019-10</v>
      </c>
    </row>
    <row r="12" spans="1:5" x14ac:dyDescent="0.25">
      <c r="A12" t="s">
        <v>7</v>
      </c>
      <c r="B12">
        <v>2019</v>
      </c>
      <c r="C12">
        <v>11</v>
      </c>
      <c r="E12" t="str">
        <f t="shared" si="0"/>
        <v>2019-11</v>
      </c>
    </row>
    <row r="13" spans="1:5" x14ac:dyDescent="0.25">
      <c r="A13" t="s">
        <v>7</v>
      </c>
      <c r="B13">
        <v>2019</v>
      </c>
      <c r="C13">
        <v>12</v>
      </c>
      <c r="E13" t="str">
        <f t="shared" si="0"/>
        <v>2019-12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6c05cd1b-ed59-40c2-bc31-e314f39</vt:lpstr>
      <vt:lpstr>Monthly_Rainfall</vt:lpstr>
      <vt:lpstr>Sheet6</vt:lpstr>
      <vt:lpstr>raw_rainfall</vt:lpstr>
      <vt:lpstr>Sheet1</vt:lpstr>
      <vt:lpstr>Merged_Analysis</vt:lpstr>
      <vt:lpstr>Charts</vt:lpstr>
      <vt:lpstr>Final_Merged_Analysis</vt:lpstr>
      <vt:lpstr>Sheet5</vt:lpstr>
      <vt:lpstr>Dengue_CAses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Bharathi</dc:creator>
  <cp:lastModifiedBy>queen queen</cp:lastModifiedBy>
  <dcterms:created xsi:type="dcterms:W3CDTF">2026-02-18T06:53:46Z</dcterms:created>
  <dcterms:modified xsi:type="dcterms:W3CDTF">2026-02-21T06:05:15Z</dcterms:modified>
</cp:coreProperties>
</file>